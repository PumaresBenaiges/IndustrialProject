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k/workflow/IP_project/organised_code/"/>
    </mc:Choice>
  </mc:AlternateContent>
  <xr:revisionPtr revIDLastSave="0" documentId="13_ncr:1_{9A25CA40-EB88-9E4E-9998-EAF7B46C4CCC}" xr6:coauthVersionLast="47" xr6:coauthVersionMax="47" xr10:uidLastSave="{00000000-0000-0000-0000-000000000000}"/>
  <bookViews>
    <workbookView xWindow="0" yWindow="800" windowWidth="34200" windowHeight="20340" xr2:uid="{F89DFC77-8F58-471C-AD01-676242773B2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/>
  <c r="N39" i="1"/>
  <c r="N40" i="1"/>
  <c r="N41" i="1"/>
  <c r="N38" i="1"/>
  <c r="N37" i="1"/>
  <c r="N36" i="1"/>
  <c r="N35" i="1"/>
</calcChain>
</file>

<file path=xl/sharedStrings.xml><?xml version="1.0" encoding="utf-8"?>
<sst xmlns="http://schemas.openxmlformats.org/spreadsheetml/2006/main" count="145" uniqueCount="42">
  <si>
    <t>defect_id</t>
  </si>
  <si>
    <t>DE_mean</t>
  </si>
  <si>
    <t>CTQ1</t>
  </si>
  <si>
    <t>CTQ2</t>
  </si>
  <si>
    <t>Defect?</t>
  </si>
  <si>
    <t>d0</t>
  </si>
  <si>
    <t>d3</t>
  </si>
  <si>
    <t>d4</t>
  </si>
  <si>
    <t>d7</t>
  </si>
  <si>
    <t>d10</t>
  </si>
  <si>
    <t>d12</t>
  </si>
  <si>
    <t>d13</t>
  </si>
  <si>
    <t>d18</t>
  </si>
  <si>
    <t>d19</t>
  </si>
  <si>
    <t>d20</t>
  </si>
  <si>
    <t>d21</t>
  </si>
  <si>
    <t>d22</t>
  </si>
  <si>
    <t>Training</t>
  </si>
  <si>
    <t>d1</t>
  </si>
  <si>
    <t>d2</t>
  </si>
  <si>
    <t>d5</t>
  </si>
  <si>
    <t>d6</t>
  </si>
  <si>
    <t>d8</t>
  </si>
  <si>
    <t>d9</t>
  </si>
  <si>
    <t>d11</t>
  </si>
  <si>
    <t>d14</t>
  </si>
  <si>
    <t>D_radius</t>
  </si>
  <si>
    <t>Trial 1, Operator 1</t>
  </si>
  <si>
    <t>Trial 1, Operator 2</t>
  </si>
  <si>
    <t>Trial 1, Operator 3</t>
  </si>
  <si>
    <t>Trial 2, Operator 1</t>
  </si>
  <si>
    <t>Trial 2, Operator 2</t>
  </si>
  <si>
    <t>Trial 2, Operator 3</t>
  </si>
  <si>
    <t>Train</t>
  </si>
  <si>
    <t>13/14</t>
  </si>
  <si>
    <t>Test</t>
  </si>
  <si>
    <t>7/11</t>
  </si>
  <si>
    <t>6/11</t>
  </si>
  <si>
    <t>Average</t>
  </si>
  <si>
    <t>Operator</t>
  </si>
  <si>
    <t>Trial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</si>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</sst>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theme="1"/>
      <name val="Consolas"/>
      <family val="3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quotePrefix="1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0" fontId="2" fillId="0" borderId="1" xfId="0" applyFont="1" applyBorder="1"/>
    <xf numFmtId="0" fontId="2" fillId="0" borderId="7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230A7-B0DB-466E-B56E-1429716CCF6F}">
  <dimension ref="B2:U50"/>
  <sheetViews>
    <sheetView tabSelected="1" topLeftCell="H30" zoomScale="285" workbookViewId="0">
      <selection activeCell="Q38" sqref="Q38"/>
    </sheetView>
  </sheetViews>
  <sheetFormatPr baseColWidth="10" defaultColWidth="8.83203125" defaultRowHeight="15" x14ac:dyDescent="0.2"/>
  <sheetData>
    <row r="2" spans="2:21" x14ac:dyDescent="0.2">
      <c r="B2" s="4" t="s">
        <v>27</v>
      </c>
      <c r="C2" s="4"/>
      <c r="D2" s="4"/>
      <c r="E2" s="4"/>
      <c r="F2" s="4"/>
      <c r="G2" s="4"/>
      <c r="I2" s="4" t="s">
        <v>28</v>
      </c>
      <c r="J2" s="4"/>
      <c r="K2" s="4"/>
      <c r="L2" s="4"/>
      <c r="M2" s="4"/>
      <c r="N2" s="4"/>
      <c r="P2" s="4" t="s">
        <v>29</v>
      </c>
      <c r="Q2" s="4"/>
      <c r="R2" s="4"/>
      <c r="S2" s="4"/>
      <c r="T2" s="4"/>
      <c r="U2" s="4"/>
    </row>
    <row r="3" spans="2:21" x14ac:dyDescent="0.2">
      <c r="B3" t="s">
        <v>0</v>
      </c>
      <c r="C3" t="s">
        <v>1</v>
      </c>
      <c r="D3" t="s">
        <v>26</v>
      </c>
      <c r="E3" t="s">
        <v>2</v>
      </c>
      <c r="F3" t="s">
        <v>3</v>
      </c>
      <c r="G3" t="s">
        <v>4</v>
      </c>
      <c r="I3" t="s">
        <v>0</v>
      </c>
      <c r="J3" t="s">
        <v>1</v>
      </c>
      <c r="K3" t="s">
        <v>26</v>
      </c>
      <c r="L3" t="s">
        <v>2</v>
      </c>
      <c r="M3" t="s">
        <v>3</v>
      </c>
      <c r="N3" t="s">
        <v>4</v>
      </c>
      <c r="P3" t="s">
        <v>0</v>
      </c>
      <c r="Q3" t="s">
        <v>1</v>
      </c>
      <c r="R3" t="s">
        <v>26</v>
      </c>
      <c r="S3" t="s">
        <v>2</v>
      </c>
      <c r="T3" t="s">
        <v>3</v>
      </c>
      <c r="U3" t="s">
        <v>4</v>
      </c>
    </row>
    <row r="4" spans="2:21" x14ac:dyDescent="0.2">
      <c r="B4" t="s">
        <v>6</v>
      </c>
      <c r="C4">
        <v>5.72563316581547</v>
      </c>
      <c r="D4">
        <v>0.37480926513671797</v>
      </c>
      <c r="E4" s="3" t="b">
        <v>1</v>
      </c>
      <c r="F4" s="2" t="b">
        <v>0</v>
      </c>
      <c r="G4" s="3" t="b">
        <v>1</v>
      </c>
      <c r="I4" t="s">
        <v>6</v>
      </c>
      <c r="J4">
        <v>5.9395085286211096</v>
      </c>
      <c r="K4">
        <v>0.42583847045898399</v>
      </c>
      <c r="L4" s="3" t="b">
        <v>1</v>
      </c>
      <c r="M4" s="2" t="b">
        <v>0</v>
      </c>
      <c r="N4" s="3" t="b">
        <v>1</v>
      </c>
      <c r="P4" t="s">
        <v>6</v>
      </c>
      <c r="Q4">
        <v>5.5038115642197898</v>
      </c>
      <c r="R4">
        <v>0.50401687622070301</v>
      </c>
      <c r="S4" s="3" t="b">
        <v>1</v>
      </c>
      <c r="T4" s="2" t="b">
        <v>0</v>
      </c>
      <c r="U4" s="3" t="b">
        <v>1</v>
      </c>
    </row>
    <row r="5" spans="2:21" x14ac:dyDescent="0.2">
      <c r="B5" t="s">
        <v>7</v>
      </c>
      <c r="C5">
        <v>1.74568302366456</v>
      </c>
      <c r="D5">
        <v>2.3433685302734299E-2</v>
      </c>
      <c r="E5" s="2" t="b">
        <v>0</v>
      </c>
      <c r="F5" s="2" t="b">
        <v>0</v>
      </c>
      <c r="G5" s="2" t="b">
        <v>0</v>
      </c>
      <c r="I5" t="s">
        <v>7</v>
      </c>
      <c r="J5">
        <v>1.5932968625953901</v>
      </c>
      <c r="K5">
        <v>0.37971878051757801</v>
      </c>
      <c r="L5" s="2" t="b">
        <v>0</v>
      </c>
      <c r="M5" s="2" t="b">
        <v>0</v>
      </c>
      <c r="N5" s="2" t="b">
        <v>0</v>
      </c>
      <c r="P5" t="s">
        <v>7</v>
      </c>
      <c r="Q5">
        <v>1.50656892534314</v>
      </c>
      <c r="R5">
        <v>0.69505691528320301</v>
      </c>
      <c r="S5" s="2" t="b">
        <v>0</v>
      </c>
      <c r="T5" s="2" t="b">
        <v>0</v>
      </c>
      <c r="U5" s="2" t="b">
        <v>0</v>
      </c>
    </row>
    <row r="6" spans="2:21" x14ac:dyDescent="0.2">
      <c r="B6" t="s">
        <v>8</v>
      </c>
      <c r="C6">
        <v>2.62170023782567</v>
      </c>
      <c r="D6">
        <v>0.99522781372070301</v>
      </c>
      <c r="E6" s="2" t="b">
        <v>0</v>
      </c>
      <c r="F6" s="2" t="b">
        <v>0</v>
      </c>
      <c r="G6" s="2" t="b">
        <v>0</v>
      </c>
      <c r="I6" t="s">
        <v>8</v>
      </c>
      <c r="J6">
        <v>2.7117729396116599</v>
      </c>
      <c r="K6">
        <v>0.73147964477538996</v>
      </c>
      <c r="L6" s="2" t="b">
        <v>0</v>
      </c>
      <c r="M6" s="2" t="b">
        <v>0</v>
      </c>
      <c r="N6" s="2" t="b">
        <v>0</v>
      </c>
      <c r="P6" t="s">
        <v>8</v>
      </c>
      <c r="Q6">
        <v>2.6556314832825998</v>
      </c>
      <c r="R6">
        <v>0.59937667846679599</v>
      </c>
      <c r="S6" s="2" t="b">
        <v>0</v>
      </c>
      <c r="T6" s="2" t="b">
        <v>0</v>
      </c>
      <c r="U6" s="2" t="b">
        <v>0</v>
      </c>
    </row>
    <row r="7" spans="2:21" x14ac:dyDescent="0.2">
      <c r="B7" t="s">
        <v>9</v>
      </c>
      <c r="C7">
        <v>5.2340417403664796</v>
      </c>
      <c r="D7">
        <v>1.1360969543457</v>
      </c>
      <c r="E7" s="3" t="b">
        <v>1</v>
      </c>
      <c r="F7" s="2" t="b">
        <v>0</v>
      </c>
      <c r="G7" s="3" t="b">
        <v>1</v>
      </c>
      <c r="I7" t="s">
        <v>9</v>
      </c>
      <c r="J7">
        <v>4.9628365722071299</v>
      </c>
      <c r="K7">
        <v>0.98382568359375</v>
      </c>
      <c r="L7" s="3" t="b">
        <v>1</v>
      </c>
      <c r="M7" s="2" t="b">
        <v>0</v>
      </c>
      <c r="N7" s="3" t="b">
        <v>1</v>
      </c>
      <c r="P7" t="s">
        <v>9</v>
      </c>
      <c r="Q7">
        <v>5.0097961684732999</v>
      </c>
      <c r="R7">
        <v>1.03725814819335</v>
      </c>
      <c r="S7" s="3" t="b">
        <v>1</v>
      </c>
      <c r="T7" s="2" t="b">
        <v>0</v>
      </c>
      <c r="U7" s="3" t="b">
        <v>1</v>
      </c>
    </row>
    <row r="8" spans="2:21" x14ac:dyDescent="0.2">
      <c r="B8" t="s">
        <v>10</v>
      </c>
      <c r="C8">
        <v>3.32240483683348</v>
      </c>
      <c r="D8">
        <v>0.47125625610351501</v>
      </c>
      <c r="E8" s="3" t="b">
        <v>1</v>
      </c>
      <c r="F8" s="2" t="b">
        <v>0</v>
      </c>
      <c r="G8" s="3" t="b">
        <v>1</v>
      </c>
      <c r="I8" t="s">
        <v>10</v>
      </c>
      <c r="J8">
        <v>2.5892637785000501</v>
      </c>
      <c r="K8">
        <v>0.290802001953125</v>
      </c>
      <c r="L8" s="2" t="b">
        <v>0</v>
      </c>
      <c r="M8" s="2" t="b">
        <v>0</v>
      </c>
      <c r="N8" s="2" t="b">
        <v>0</v>
      </c>
      <c r="P8" t="s">
        <v>10</v>
      </c>
      <c r="Q8">
        <v>3.1604014569358898</v>
      </c>
      <c r="R8">
        <v>0.61192321777343694</v>
      </c>
      <c r="S8" s="3" t="b">
        <v>1</v>
      </c>
      <c r="T8" s="2" t="b">
        <v>0</v>
      </c>
      <c r="U8" s="3" t="b">
        <v>1</v>
      </c>
    </row>
    <row r="9" spans="2:21" x14ac:dyDescent="0.2">
      <c r="B9" t="s">
        <v>11</v>
      </c>
      <c r="C9">
        <v>1.59958126641329</v>
      </c>
      <c r="D9">
        <v>3.8085289001464799</v>
      </c>
      <c r="E9" s="2" t="b">
        <v>0</v>
      </c>
      <c r="F9" s="3" t="b">
        <v>1</v>
      </c>
      <c r="G9" s="3" t="b">
        <v>1</v>
      </c>
      <c r="I9" t="s">
        <v>11</v>
      </c>
      <c r="J9">
        <v>1.71520118083041</v>
      </c>
      <c r="K9">
        <v>3.4907264709472599</v>
      </c>
      <c r="L9" s="2" t="b">
        <v>0</v>
      </c>
      <c r="M9" s="3" t="b">
        <v>1</v>
      </c>
      <c r="N9" s="3" t="b">
        <v>1</v>
      </c>
      <c r="P9" t="s">
        <v>11</v>
      </c>
      <c r="Q9">
        <v>1.7283553847119899</v>
      </c>
      <c r="R9">
        <v>3.8440628051757799</v>
      </c>
      <c r="S9" s="2" t="b">
        <v>0</v>
      </c>
      <c r="T9" s="3" t="b">
        <v>1</v>
      </c>
      <c r="U9" s="3" t="b">
        <v>1</v>
      </c>
    </row>
    <row r="10" spans="2:21" x14ac:dyDescent="0.2">
      <c r="B10" t="s">
        <v>12</v>
      </c>
      <c r="C10">
        <v>1.6667398342195601</v>
      </c>
      <c r="D10">
        <v>5.3327178955078098</v>
      </c>
      <c r="E10" s="2" t="b">
        <v>0</v>
      </c>
      <c r="F10" s="3" t="b">
        <v>1</v>
      </c>
      <c r="G10" s="3" t="b">
        <v>1</v>
      </c>
      <c r="I10" t="s">
        <v>12</v>
      </c>
      <c r="J10">
        <v>1.69034157838304</v>
      </c>
      <c r="K10">
        <v>5.0071334838867099</v>
      </c>
      <c r="L10" s="2" t="b">
        <v>0</v>
      </c>
      <c r="M10" s="3" t="b">
        <v>1</v>
      </c>
      <c r="N10" s="3" t="b">
        <v>1</v>
      </c>
      <c r="P10" t="s">
        <v>12</v>
      </c>
      <c r="Q10">
        <v>1.6541846648982901</v>
      </c>
      <c r="R10">
        <v>5.1851539611816397</v>
      </c>
      <c r="S10" s="2" t="b">
        <v>0</v>
      </c>
      <c r="T10" s="3" t="b">
        <v>1</v>
      </c>
      <c r="U10" s="3" t="b">
        <v>1</v>
      </c>
    </row>
    <row r="11" spans="2:21" x14ac:dyDescent="0.2">
      <c r="B11" t="s">
        <v>13</v>
      </c>
      <c r="C11">
        <v>2.0649701575650599</v>
      </c>
      <c r="D11">
        <v>0.56644439697265603</v>
      </c>
      <c r="E11" s="2" t="b">
        <v>0</v>
      </c>
      <c r="F11" s="2" t="b">
        <v>0</v>
      </c>
      <c r="G11" s="2" t="b">
        <v>0</v>
      </c>
      <c r="I11" t="s">
        <v>13</v>
      </c>
      <c r="J11">
        <v>2.0059853464587301</v>
      </c>
      <c r="K11">
        <v>0.54853820800781194</v>
      </c>
      <c r="L11" s="2" t="b">
        <v>0</v>
      </c>
      <c r="M11" s="2" t="b">
        <v>0</v>
      </c>
      <c r="N11" s="2" t="b">
        <v>0</v>
      </c>
      <c r="P11" t="s">
        <v>13</v>
      </c>
      <c r="Q11">
        <v>2.1799566969462001</v>
      </c>
      <c r="R11">
        <v>0.17962265014648399</v>
      </c>
      <c r="S11" s="2" t="b">
        <v>0</v>
      </c>
      <c r="T11" s="2" t="b">
        <v>0</v>
      </c>
      <c r="U11" s="2" t="b">
        <v>0</v>
      </c>
    </row>
    <row r="12" spans="2:21" x14ac:dyDescent="0.2">
      <c r="B12" t="s">
        <v>14</v>
      </c>
      <c r="C12">
        <v>1.5618885220416701</v>
      </c>
      <c r="D12">
        <v>0.48279571533203097</v>
      </c>
      <c r="E12" s="2" t="b">
        <v>0</v>
      </c>
      <c r="F12" s="2" t="b">
        <v>0</v>
      </c>
      <c r="G12" s="2" t="b">
        <v>0</v>
      </c>
      <c r="I12" t="s">
        <v>14</v>
      </c>
      <c r="J12">
        <v>1.8369872442239501</v>
      </c>
      <c r="K12">
        <v>0.83672332763671797</v>
      </c>
      <c r="L12" s="2" t="b">
        <v>0</v>
      </c>
      <c r="M12" s="2" t="b">
        <v>0</v>
      </c>
      <c r="N12" s="2" t="b">
        <v>0</v>
      </c>
      <c r="P12" t="s">
        <v>14</v>
      </c>
      <c r="Q12">
        <v>1.5624486530661901</v>
      </c>
      <c r="R12">
        <v>5.6610107421875E-2</v>
      </c>
      <c r="S12" s="2" t="b">
        <v>0</v>
      </c>
      <c r="T12" s="2" t="b">
        <v>0</v>
      </c>
      <c r="U12" s="2" t="b">
        <v>0</v>
      </c>
    </row>
    <row r="13" spans="2:21" x14ac:dyDescent="0.2">
      <c r="B13" t="s">
        <v>15</v>
      </c>
      <c r="C13">
        <v>2.1244220105687299</v>
      </c>
      <c r="D13">
        <v>12.0164222717285</v>
      </c>
      <c r="E13" s="2" t="b">
        <v>0</v>
      </c>
      <c r="F13" s="3" t="b">
        <v>1</v>
      </c>
      <c r="G13" s="3" t="b">
        <v>1</v>
      </c>
      <c r="I13" t="s">
        <v>15</v>
      </c>
      <c r="J13">
        <v>2.0796634926872501</v>
      </c>
      <c r="K13">
        <v>12.0490417480468</v>
      </c>
      <c r="L13" s="2" t="b">
        <v>0</v>
      </c>
      <c r="M13" s="3" t="b">
        <v>1</v>
      </c>
      <c r="N13" s="3" t="b">
        <v>1</v>
      </c>
      <c r="P13" t="s">
        <v>15</v>
      </c>
      <c r="Q13">
        <v>1.9886826419550301</v>
      </c>
      <c r="R13">
        <v>11.892494201660099</v>
      </c>
      <c r="S13" s="2" t="b">
        <v>0</v>
      </c>
      <c r="T13" s="3" t="b">
        <v>1</v>
      </c>
      <c r="U13" s="3" t="b">
        <v>1</v>
      </c>
    </row>
    <row r="14" spans="2:21" x14ac:dyDescent="0.2">
      <c r="B14" t="s">
        <v>16</v>
      </c>
      <c r="C14">
        <v>4.33490390152323</v>
      </c>
      <c r="D14">
        <v>4.1520500183105398</v>
      </c>
      <c r="E14" s="3" t="b">
        <v>1</v>
      </c>
      <c r="F14" s="3" t="b">
        <v>1</v>
      </c>
      <c r="G14" s="3" t="b">
        <v>1</v>
      </c>
      <c r="I14" t="s">
        <v>16</v>
      </c>
      <c r="J14">
        <v>2.76243755827534</v>
      </c>
      <c r="K14">
        <v>3.1387519836425701</v>
      </c>
      <c r="L14" s="2" t="b">
        <v>0</v>
      </c>
      <c r="M14" s="3" t="b">
        <v>1</v>
      </c>
      <c r="N14" s="3" t="b">
        <v>1</v>
      </c>
      <c r="P14" t="s">
        <v>16</v>
      </c>
      <c r="Q14">
        <v>3.9800509285564698</v>
      </c>
      <c r="R14">
        <v>4.0176620483398402</v>
      </c>
      <c r="S14" s="3" t="b">
        <v>1</v>
      </c>
      <c r="T14" s="3" t="b">
        <v>1</v>
      </c>
      <c r="U14" s="3" t="b">
        <v>1</v>
      </c>
    </row>
    <row r="15" spans="2:21" x14ac:dyDescent="0.2">
      <c r="J15" s="1"/>
      <c r="R15" s="1"/>
    </row>
    <row r="18" spans="2:21" x14ac:dyDescent="0.2">
      <c r="B18" s="4" t="s">
        <v>30</v>
      </c>
      <c r="C18" s="4"/>
      <c r="D18" s="4"/>
      <c r="E18" s="4"/>
      <c r="F18" s="4"/>
      <c r="G18" s="4"/>
      <c r="I18" s="4" t="s">
        <v>31</v>
      </c>
      <c r="J18" s="4"/>
      <c r="K18" s="4"/>
      <c r="L18" s="4"/>
      <c r="M18" s="4"/>
      <c r="N18" s="4"/>
      <c r="P18" s="4" t="s">
        <v>32</v>
      </c>
      <c r="Q18" s="4"/>
      <c r="R18" s="4"/>
      <c r="S18" s="4"/>
      <c r="T18" s="4"/>
      <c r="U18" s="4"/>
    </row>
    <row r="19" spans="2:21" x14ac:dyDescent="0.2">
      <c r="B19" t="s">
        <v>0</v>
      </c>
      <c r="C19" t="s">
        <v>1</v>
      </c>
      <c r="D19" t="s">
        <v>26</v>
      </c>
      <c r="E19" t="s">
        <v>2</v>
      </c>
      <c r="F19" t="s">
        <v>3</v>
      </c>
      <c r="G19" t="s">
        <v>4</v>
      </c>
      <c r="I19" t="s">
        <v>0</v>
      </c>
      <c r="J19" t="s">
        <v>1</v>
      </c>
      <c r="K19" t="s">
        <v>26</v>
      </c>
      <c r="L19" t="s">
        <v>2</v>
      </c>
      <c r="M19" t="s">
        <v>3</v>
      </c>
      <c r="N19" t="s">
        <v>4</v>
      </c>
      <c r="P19" t="s">
        <v>0</v>
      </c>
      <c r="Q19" t="s">
        <v>1</v>
      </c>
      <c r="R19" t="s">
        <v>26</v>
      </c>
      <c r="S19" t="s">
        <v>2</v>
      </c>
      <c r="T19" t="s">
        <v>3</v>
      </c>
      <c r="U19" t="s">
        <v>4</v>
      </c>
    </row>
    <row r="20" spans="2:21" x14ac:dyDescent="0.2">
      <c r="B20" t="s">
        <v>5</v>
      </c>
      <c r="C20">
        <v>1.4098896472248199</v>
      </c>
      <c r="D20">
        <v>0.42660140991210899</v>
      </c>
      <c r="E20" s="2" t="b">
        <v>0</v>
      </c>
      <c r="F20" s="2" t="b">
        <v>0</v>
      </c>
      <c r="G20" s="2" t="b">
        <v>0</v>
      </c>
      <c r="I20" t="s">
        <v>5</v>
      </c>
      <c r="J20">
        <v>1.31863278128399</v>
      </c>
      <c r="K20">
        <v>0.3255615234375</v>
      </c>
      <c r="L20" s="2" t="b">
        <v>0</v>
      </c>
      <c r="M20" s="2" t="b">
        <v>0</v>
      </c>
      <c r="N20" s="2" t="b">
        <v>0</v>
      </c>
      <c r="P20" t="s">
        <v>5</v>
      </c>
      <c r="Q20">
        <v>1.3584323212001801</v>
      </c>
      <c r="R20">
        <v>0.42073822021484297</v>
      </c>
      <c r="S20" s="2" t="b">
        <v>0</v>
      </c>
      <c r="T20" s="2" t="b">
        <v>0</v>
      </c>
      <c r="U20" s="2" t="b">
        <v>0</v>
      </c>
    </row>
    <row r="21" spans="2:21" x14ac:dyDescent="0.2">
      <c r="B21" t="s">
        <v>6</v>
      </c>
      <c r="C21">
        <v>6.05723884822965</v>
      </c>
      <c r="D21">
        <v>0.32321548461914001</v>
      </c>
      <c r="E21" s="3" t="b">
        <v>1</v>
      </c>
      <c r="F21" s="2" t="b">
        <v>0</v>
      </c>
      <c r="G21" s="3" t="b">
        <v>1</v>
      </c>
      <c r="I21" t="s">
        <v>6</v>
      </c>
      <c r="J21">
        <v>6.0263923095638701</v>
      </c>
      <c r="K21">
        <v>0.38386154174804599</v>
      </c>
      <c r="L21" s="3" t="b">
        <v>1</v>
      </c>
      <c r="M21" s="2" t="b">
        <v>0</v>
      </c>
      <c r="N21" s="3" t="b">
        <v>1</v>
      </c>
      <c r="P21" t="s">
        <v>6</v>
      </c>
      <c r="Q21">
        <v>6.2201817673284303</v>
      </c>
      <c r="R21">
        <v>0.47230911254882801</v>
      </c>
      <c r="S21" s="3" t="b">
        <v>1</v>
      </c>
      <c r="T21" s="2" t="b">
        <v>0</v>
      </c>
      <c r="U21" s="3" t="b">
        <v>1</v>
      </c>
    </row>
    <row r="22" spans="2:21" x14ac:dyDescent="0.2">
      <c r="B22" t="s">
        <v>7</v>
      </c>
      <c r="C22">
        <v>1.4378790617617601</v>
      </c>
      <c r="D22">
        <v>0.52303695678710904</v>
      </c>
      <c r="E22" s="2" t="b">
        <v>0</v>
      </c>
      <c r="F22" s="2" t="b">
        <v>0</v>
      </c>
      <c r="G22" s="2" t="b">
        <v>0</v>
      </c>
      <c r="I22" t="s">
        <v>7</v>
      </c>
      <c r="J22">
        <v>1.3854668770235601</v>
      </c>
      <c r="K22">
        <v>0.48699569702148399</v>
      </c>
      <c r="L22" s="2" t="b">
        <v>0</v>
      </c>
      <c r="M22" s="2" t="b">
        <v>0</v>
      </c>
      <c r="N22" s="2" t="b">
        <v>0</v>
      </c>
      <c r="P22" t="s">
        <v>7</v>
      </c>
      <c r="Q22">
        <v>1.4580973146399701</v>
      </c>
      <c r="R22">
        <v>0.38842391967773399</v>
      </c>
      <c r="S22" s="2" t="b">
        <v>0</v>
      </c>
      <c r="T22" s="2" t="b">
        <v>0</v>
      </c>
      <c r="U22" s="2" t="b">
        <v>0</v>
      </c>
    </row>
    <row r="23" spans="2:21" x14ac:dyDescent="0.2">
      <c r="B23" t="s">
        <v>8</v>
      </c>
      <c r="C23">
        <v>2.4999857341683902</v>
      </c>
      <c r="D23">
        <v>0.67889785766601496</v>
      </c>
      <c r="E23" s="2" t="b">
        <v>0</v>
      </c>
      <c r="F23" s="2" t="b">
        <v>0</v>
      </c>
      <c r="G23" s="2" t="b">
        <v>0</v>
      </c>
      <c r="I23" t="s">
        <v>8</v>
      </c>
      <c r="J23">
        <v>2.50962899928339</v>
      </c>
      <c r="K23">
        <v>0.44518280029296797</v>
      </c>
      <c r="L23" s="2" t="b">
        <v>0</v>
      </c>
      <c r="M23" s="2" t="b">
        <v>0</v>
      </c>
      <c r="N23" s="2" t="b">
        <v>0</v>
      </c>
      <c r="P23" t="s">
        <v>8</v>
      </c>
      <c r="Q23">
        <v>2.6338358318604498</v>
      </c>
      <c r="R23">
        <v>0.24401473999023399</v>
      </c>
      <c r="S23" s="2" t="b">
        <v>0</v>
      </c>
      <c r="T23" s="2" t="b">
        <v>0</v>
      </c>
      <c r="U23" s="2" t="b">
        <v>0</v>
      </c>
    </row>
    <row r="24" spans="2:21" x14ac:dyDescent="0.2">
      <c r="B24" t="s">
        <v>9</v>
      </c>
      <c r="C24">
        <v>5.0445708758180103</v>
      </c>
      <c r="D24">
        <v>0.90740585327148404</v>
      </c>
      <c r="E24" s="3" t="b">
        <v>1</v>
      </c>
      <c r="F24" s="2" t="b">
        <v>0</v>
      </c>
      <c r="G24" s="3" t="b">
        <v>1</v>
      </c>
      <c r="I24" t="s">
        <v>9</v>
      </c>
      <c r="J24">
        <v>5.26902868077494</v>
      </c>
      <c r="K24">
        <v>0.70737075805663996</v>
      </c>
      <c r="L24" s="3" t="b">
        <v>1</v>
      </c>
      <c r="M24" s="2" t="b">
        <v>0</v>
      </c>
      <c r="N24" s="3" t="b">
        <v>1</v>
      </c>
      <c r="P24" t="s">
        <v>9</v>
      </c>
      <c r="Q24">
        <v>4.9461015740754899</v>
      </c>
      <c r="R24">
        <v>0.99581146240234297</v>
      </c>
      <c r="S24" s="3" t="b">
        <v>1</v>
      </c>
      <c r="T24" s="2" t="b">
        <v>0</v>
      </c>
      <c r="U24" s="3" t="b">
        <v>1</v>
      </c>
    </row>
    <row r="25" spans="2:21" x14ac:dyDescent="0.2">
      <c r="B25" t="s">
        <v>10</v>
      </c>
      <c r="C25">
        <v>3.1328385670638399</v>
      </c>
      <c r="D25">
        <v>0.35430145263671797</v>
      </c>
      <c r="E25" s="3" t="b">
        <v>1</v>
      </c>
      <c r="F25" s="2" t="b">
        <v>0</v>
      </c>
      <c r="G25" s="3" t="b">
        <v>1</v>
      </c>
      <c r="I25" t="s">
        <v>10</v>
      </c>
      <c r="J25">
        <v>3.2202546627281801</v>
      </c>
      <c r="K25">
        <v>0.417556762695312</v>
      </c>
      <c r="L25" s="3" t="b">
        <v>1</v>
      </c>
      <c r="M25" s="2" t="b">
        <v>0</v>
      </c>
      <c r="N25" s="3" t="b">
        <v>1</v>
      </c>
      <c r="P25" t="s">
        <v>10</v>
      </c>
      <c r="Q25">
        <v>2.9466982320235098</v>
      </c>
      <c r="R25">
        <v>0.59987640380859297</v>
      </c>
      <c r="S25" s="3" t="b">
        <v>1</v>
      </c>
      <c r="T25" s="2" t="b">
        <v>0</v>
      </c>
      <c r="U25" s="3" t="b">
        <v>1</v>
      </c>
    </row>
    <row r="26" spans="2:21" x14ac:dyDescent="0.2">
      <c r="B26" t="s">
        <v>11</v>
      </c>
      <c r="C26">
        <v>1.6968027130741801</v>
      </c>
      <c r="D26">
        <v>3.8718223571777299</v>
      </c>
      <c r="E26" s="2" t="b">
        <v>0</v>
      </c>
      <c r="F26" s="3" t="b">
        <v>1</v>
      </c>
      <c r="G26" s="3" t="b">
        <v>1</v>
      </c>
      <c r="I26" t="s">
        <v>11</v>
      </c>
      <c r="J26">
        <v>1.69641011818717</v>
      </c>
      <c r="K26">
        <v>3.6882858276367099</v>
      </c>
      <c r="L26" s="2" t="b">
        <v>0</v>
      </c>
      <c r="M26" s="3" t="b">
        <v>1</v>
      </c>
      <c r="N26" s="3" t="b">
        <v>1</v>
      </c>
      <c r="P26" t="s">
        <v>11</v>
      </c>
      <c r="Q26">
        <v>1.6762979912373399</v>
      </c>
      <c r="R26">
        <v>3.83476257324218</v>
      </c>
      <c r="S26" s="2" t="b">
        <v>0</v>
      </c>
      <c r="T26" s="3" t="b">
        <v>1</v>
      </c>
      <c r="U26" s="3" t="b">
        <v>1</v>
      </c>
    </row>
    <row r="27" spans="2:21" x14ac:dyDescent="0.2">
      <c r="B27" t="s">
        <v>12</v>
      </c>
      <c r="C27">
        <v>1.92346429373739</v>
      </c>
      <c r="D27">
        <v>5.2936477661132804</v>
      </c>
      <c r="E27" s="2" t="b">
        <v>0</v>
      </c>
      <c r="F27" s="3" t="b">
        <v>1</v>
      </c>
      <c r="G27" s="3" t="b">
        <v>1</v>
      </c>
      <c r="I27" t="s">
        <v>12</v>
      </c>
      <c r="J27">
        <v>1.82275920839663</v>
      </c>
      <c r="K27">
        <v>5.6909294128417898</v>
      </c>
      <c r="L27" s="2" t="b">
        <v>0</v>
      </c>
      <c r="M27" s="3" t="b">
        <v>1</v>
      </c>
      <c r="N27" s="3" t="b">
        <v>1</v>
      </c>
      <c r="P27" t="s">
        <v>12</v>
      </c>
      <c r="Q27">
        <v>1.8835680046957499</v>
      </c>
      <c r="R27">
        <v>5.0717124938964799</v>
      </c>
      <c r="S27" s="2" t="b">
        <v>0</v>
      </c>
      <c r="T27" s="3" t="b">
        <v>1</v>
      </c>
      <c r="U27" s="3" t="b">
        <v>1</v>
      </c>
    </row>
    <row r="28" spans="2:21" x14ac:dyDescent="0.2">
      <c r="B28" t="s">
        <v>13</v>
      </c>
      <c r="C28">
        <v>1.95635089847632</v>
      </c>
      <c r="D28">
        <v>0.59440612792968694</v>
      </c>
      <c r="E28" s="2" t="b">
        <v>0</v>
      </c>
      <c r="F28" s="2" t="b">
        <v>0</v>
      </c>
      <c r="G28" s="2" t="b">
        <v>0</v>
      </c>
      <c r="I28" t="s">
        <v>13</v>
      </c>
      <c r="J28">
        <v>2.2494420490525302</v>
      </c>
      <c r="K28">
        <v>0.24415969848632799</v>
      </c>
      <c r="L28" s="2" t="b">
        <v>0</v>
      </c>
      <c r="M28" s="2" t="b">
        <v>0</v>
      </c>
      <c r="N28" s="2" t="b">
        <v>0</v>
      </c>
      <c r="P28" t="s">
        <v>13</v>
      </c>
      <c r="Q28">
        <v>2.0082607201853899</v>
      </c>
      <c r="R28">
        <v>4.98504638671875E-2</v>
      </c>
      <c r="S28" s="2" t="b">
        <v>0</v>
      </c>
      <c r="T28" s="2" t="b">
        <v>0</v>
      </c>
      <c r="U28" s="2" t="b">
        <v>0</v>
      </c>
    </row>
    <row r="29" spans="2:21" x14ac:dyDescent="0.2">
      <c r="B29" t="s">
        <v>14</v>
      </c>
      <c r="C29">
        <v>1.5959264412037399</v>
      </c>
      <c r="D29">
        <v>0.69040679931640603</v>
      </c>
      <c r="E29" s="2" t="b">
        <v>0</v>
      </c>
      <c r="F29" s="2" t="b">
        <v>0</v>
      </c>
      <c r="G29" s="2" t="b">
        <v>0</v>
      </c>
      <c r="I29" t="s">
        <v>14</v>
      </c>
      <c r="J29">
        <v>1.59907634285292</v>
      </c>
      <c r="K29">
        <v>0.48696517944335899</v>
      </c>
      <c r="L29" s="2" t="b">
        <v>0</v>
      </c>
      <c r="M29" s="2" t="b">
        <v>0</v>
      </c>
      <c r="N29" s="2" t="b">
        <v>0</v>
      </c>
      <c r="P29" t="s">
        <v>14</v>
      </c>
      <c r="Q29">
        <v>1.51156618293247</v>
      </c>
      <c r="R29">
        <v>0.50443267822265603</v>
      </c>
      <c r="S29" s="2" t="b">
        <v>0</v>
      </c>
      <c r="T29" s="2" t="b">
        <v>0</v>
      </c>
      <c r="U29" s="2" t="b">
        <v>0</v>
      </c>
    </row>
    <row r="30" spans="2:21" x14ac:dyDescent="0.2">
      <c r="B30" t="s">
        <v>15</v>
      </c>
      <c r="C30">
        <v>2.06490873847414</v>
      </c>
      <c r="D30">
        <v>11.8977966308593</v>
      </c>
      <c r="E30" s="2" t="b">
        <v>0</v>
      </c>
      <c r="F30" s="3" t="b">
        <v>1</v>
      </c>
      <c r="G30" s="3" t="b">
        <v>1</v>
      </c>
      <c r="I30" t="s">
        <v>15</v>
      </c>
      <c r="J30">
        <v>2.0799663992655399</v>
      </c>
      <c r="K30">
        <v>12.264076232910099</v>
      </c>
      <c r="L30" s="2" t="b">
        <v>0</v>
      </c>
      <c r="M30" s="3" t="b">
        <v>1</v>
      </c>
      <c r="N30" s="3" t="b">
        <v>1</v>
      </c>
      <c r="P30" t="s">
        <v>15</v>
      </c>
      <c r="Q30">
        <v>2.0963880953373701</v>
      </c>
      <c r="R30">
        <v>12.1287727355957</v>
      </c>
      <c r="S30" s="2" t="b">
        <v>0</v>
      </c>
      <c r="T30" s="3" t="b">
        <v>1</v>
      </c>
      <c r="U30" s="3" t="b">
        <v>1</v>
      </c>
    </row>
    <row r="31" spans="2:21" x14ac:dyDescent="0.2">
      <c r="B31" t="s">
        <v>16</v>
      </c>
      <c r="C31">
        <v>2.6562234390408501</v>
      </c>
      <c r="D31">
        <v>4.2555809020995996</v>
      </c>
      <c r="E31" s="2" t="b">
        <v>0</v>
      </c>
      <c r="F31" s="3" t="b">
        <v>1</v>
      </c>
      <c r="G31" s="3" t="b">
        <v>1</v>
      </c>
      <c r="I31" t="s">
        <v>16</v>
      </c>
      <c r="J31">
        <v>2.7592633097188699</v>
      </c>
      <c r="K31">
        <v>4.1865501403808496</v>
      </c>
      <c r="L31" s="2" t="b">
        <v>0</v>
      </c>
      <c r="M31" s="3" t="b">
        <v>1</v>
      </c>
      <c r="N31" s="3" t="b">
        <v>1</v>
      </c>
      <c r="P31" t="s">
        <v>16</v>
      </c>
      <c r="Q31">
        <v>2.8609600794506802</v>
      </c>
      <c r="R31">
        <v>3.8322906494140598</v>
      </c>
      <c r="S31" s="3" t="b">
        <v>1</v>
      </c>
      <c r="T31" s="3" t="b">
        <v>1</v>
      </c>
      <c r="U31" s="3" t="b">
        <v>1</v>
      </c>
    </row>
    <row r="34" spans="2:14" x14ac:dyDescent="0.2">
      <c r="J34" s="12"/>
      <c r="K34" s="13" t="s">
        <v>40</v>
      </c>
      <c r="L34" s="13" t="s">
        <v>39</v>
      </c>
      <c r="M34" s="14" t="s">
        <v>41</v>
      </c>
      <c r="N34" s="15"/>
    </row>
    <row r="35" spans="2:14" x14ac:dyDescent="0.2">
      <c r="B35" s="4" t="s">
        <v>17</v>
      </c>
      <c r="C35" s="4"/>
      <c r="D35" s="4"/>
      <c r="E35" s="4"/>
      <c r="F35" s="4"/>
      <c r="G35" s="4"/>
      <c r="J35" s="9" t="s">
        <v>33</v>
      </c>
      <c r="K35" s="5"/>
      <c r="L35" s="5"/>
      <c r="M35" s="5" t="s">
        <v>34</v>
      </c>
      <c r="N35" s="6">
        <f>13/14</f>
        <v>0.9285714285714286</v>
      </c>
    </row>
    <row r="36" spans="2:14" x14ac:dyDescent="0.2">
      <c r="B36" t="s">
        <v>0</v>
      </c>
      <c r="C36" t="s">
        <v>1</v>
      </c>
      <c r="D36" t="s">
        <v>26</v>
      </c>
      <c r="E36" t="s">
        <v>2</v>
      </c>
      <c r="F36" t="s">
        <v>3</v>
      </c>
      <c r="G36" t="s">
        <v>4</v>
      </c>
      <c r="J36" s="10" t="s">
        <v>35</v>
      </c>
      <c r="K36" s="5">
        <v>1</v>
      </c>
      <c r="L36" s="5">
        <v>1</v>
      </c>
      <c r="M36" s="5" t="s">
        <v>36</v>
      </c>
      <c r="N36" s="6">
        <f>7/11</f>
        <v>0.63636363636363635</v>
      </c>
    </row>
    <row r="37" spans="2:14" x14ac:dyDescent="0.2">
      <c r="B37" t="s">
        <v>18</v>
      </c>
      <c r="C37">
        <v>2.8586820070451302</v>
      </c>
      <c r="D37">
        <v>0.46789169311523399</v>
      </c>
      <c r="E37" s="3" t="b">
        <v>1</v>
      </c>
      <c r="F37" s="2" t="b">
        <v>0</v>
      </c>
      <c r="G37" s="3" t="b">
        <v>1</v>
      </c>
      <c r="J37" s="10"/>
      <c r="K37" s="5">
        <v>1</v>
      </c>
      <c r="L37" s="5">
        <v>2</v>
      </c>
      <c r="M37" s="5" t="s">
        <v>37</v>
      </c>
      <c r="N37" s="6">
        <f>6/11</f>
        <v>0.54545454545454541</v>
      </c>
    </row>
    <row r="38" spans="2:14" x14ac:dyDescent="0.2">
      <c r="B38" t="s">
        <v>19</v>
      </c>
      <c r="C38">
        <v>4.4670374799057297</v>
      </c>
      <c r="D38">
        <v>9.9536895751953097E-2</v>
      </c>
      <c r="E38" s="3" t="b">
        <v>1</v>
      </c>
      <c r="F38" s="2" t="b">
        <v>0</v>
      </c>
      <c r="G38" s="3" t="b">
        <v>1</v>
      </c>
      <c r="J38" s="10"/>
      <c r="K38" s="5">
        <v>1</v>
      </c>
      <c r="L38" s="5">
        <v>3</v>
      </c>
      <c r="M38" s="5" t="s">
        <v>36</v>
      </c>
      <c r="N38" s="6">
        <f>7/11</f>
        <v>0.63636363636363635</v>
      </c>
    </row>
    <row r="39" spans="2:14" x14ac:dyDescent="0.2">
      <c r="B39" t="s">
        <v>6</v>
      </c>
      <c r="C39">
        <v>7.8176764588627199</v>
      </c>
      <c r="D39">
        <v>1.1359672546386701</v>
      </c>
      <c r="E39" s="3" t="b">
        <v>1</v>
      </c>
      <c r="F39" s="2" t="b">
        <v>0</v>
      </c>
      <c r="G39" s="3" t="b">
        <v>1</v>
      </c>
      <c r="J39" s="10"/>
      <c r="K39" s="5">
        <v>2</v>
      </c>
      <c r="L39" s="5">
        <v>1</v>
      </c>
      <c r="M39" s="5" t="s">
        <v>36</v>
      </c>
      <c r="N39" s="6">
        <f t="shared" ref="N39:N41" si="0">7/11</f>
        <v>0.63636363636363635</v>
      </c>
    </row>
    <row r="40" spans="2:14" x14ac:dyDescent="0.2">
      <c r="B40" t="s">
        <v>7</v>
      </c>
      <c r="C40">
        <v>2.7183759229346598</v>
      </c>
      <c r="D40">
        <v>0.88345718383788996</v>
      </c>
      <c r="E40" s="2" t="b">
        <v>0</v>
      </c>
      <c r="F40" s="2" t="b">
        <v>0</v>
      </c>
      <c r="G40" s="2" t="b">
        <v>0</v>
      </c>
      <c r="J40" s="10"/>
      <c r="K40" s="5">
        <v>2</v>
      </c>
      <c r="L40" s="5">
        <v>2</v>
      </c>
      <c r="M40" s="5" t="s">
        <v>36</v>
      </c>
      <c r="N40" s="6">
        <f t="shared" si="0"/>
        <v>0.63636363636363635</v>
      </c>
    </row>
    <row r="41" spans="2:14" x14ac:dyDescent="0.2">
      <c r="B41" t="s">
        <v>20</v>
      </c>
      <c r="C41">
        <v>6.55419999399719</v>
      </c>
      <c r="D41">
        <v>0.796783447265625</v>
      </c>
      <c r="E41" s="3" t="b">
        <v>1</v>
      </c>
      <c r="F41" s="2" t="b">
        <v>0</v>
      </c>
      <c r="G41" s="3" t="b">
        <v>1</v>
      </c>
      <c r="J41" s="10"/>
      <c r="K41" s="5">
        <v>2</v>
      </c>
      <c r="L41" s="5">
        <v>3</v>
      </c>
      <c r="M41" s="5" t="s">
        <v>36</v>
      </c>
      <c r="N41" s="6">
        <f t="shared" si="0"/>
        <v>0.63636363636363635</v>
      </c>
    </row>
    <row r="42" spans="2:14" x14ac:dyDescent="0.2">
      <c r="B42" t="s">
        <v>21</v>
      </c>
      <c r="C42">
        <v>4.5023641290572503</v>
      </c>
      <c r="D42">
        <v>0.97106170654296797</v>
      </c>
      <c r="E42" s="3" t="b">
        <v>1</v>
      </c>
      <c r="F42" s="2" t="b">
        <v>0</v>
      </c>
      <c r="G42" s="3" t="b">
        <v>1</v>
      </c>
      <c r="J42" s="11" t="s">
        <v>38</v>
      </c>
      <c r="K42" s="7"/>
      <c r="L42" s="7"/>
      <c r="M42" s="7"/>
      <c r="N42" s="8">
        <f>AVERAGE(N35:N41)</f>
        <v>0.66512059369202237</v>
      </c>
    </row>
    <row r="43" spans="2:14" x14ac:dyDescent="0.2">
      <c r="B43" t="s">
        <v>8</v>
      </c>
      <c r="C43">
        <v>4.1756185896487601</v>
      </c>
      <c r="D43">
        <v>0.53696441650390603</v>
      </c>
      <c r="E43" s="3" t="b">
        <v>1</v>
      </c>
      <c r="F43" s="2" t="b">
        <v>0</v>
      </c>
      <c r="G43" s="3" t="b">
        <v>1</v>
      </c>
    </row>
    <row r="44" spans="2:14" x14ac:dyDescent="0.2">
      <c r="B44" t="s">
        <v>22</v>
      </c>
      <c r="C44">
        <v>4.0922322701454803</v>
      </c>
      <c r="D44">
        <v>14.168098449706999</v>
      </c>
      <c r="E44" s="3" t="b">
        <v>1</v>
      </c>
      <c r="F44" s="3" t="b">
        <v>1</v>
      </c>
      <c r="G44" s="3" t="b">
        <v>1</v>
      </c>
    </row>
    <row r="45" spans="2:14" x14ac:dyDescent="0.2">
      <c r="B45" t="s">
        <v>23</v>
      </c>
      <c r="C45">
        <v>2.9615201772478699</v>
      </c>
      <c r="D45">
        <v>4.7744255065917898</v>
      </c>
      <c r="E45" s="3" t="b">
        <v>1</v>
      </c>
      <c r="F45" s="3" t="b">
        <v>1</v>
      </c>
      <c r="G45" s="3" t="b">
        <v>1</v>
      </c>
    </row>
    <row r="46" spans="2:14" x14ac:dyDescent="0.2">
      <c r="B46" t="s">
        <v>9</v>
      </c>
      <c r="C46">
        <v>3.9547032987089699</v>
      </c>
      <c r="D46">
        <v>7.2260208129882804</v>
      </c>
      <c r="E46" s="3" t="b">
        <v>1</v>
      </c>
      <c r="F46" s="3" t="b">
        <v>1</v>
      </c>
      <c r="G46" s="3" t="b">
        <v>1</v>
      </c>
    </row>
    <row r="47" spans="2:14" x14ac:dyDescent="0.2">
      <c r="B47" t="s">
        <v>24</v>
      </c>
      <c r="C47">
        <v>3.5394233690408399</v>
      </c>
      <c r="D47">
        <v>0.76793289184570301</v>
      </c>
      <c r="E47" s="3" t="b">
        <v>1</v>
      </c>
      <c r="F47" s="2" t="b">
        <v>0</v>
      </c>
      <c r="G47" s="3" t="b">
        <v>1</v>
      </c>
    </row>
    <row r="48" spans="2:14" x14ac:dyDescent="0.2">
      <c r="B48" t="s">
        <v>10</v>
      </c>
      <c r="C48">
        <v>3.6748485691456501</v>
      </c>
      <c r="D48">
        <v>0.91352462768554599</v>
      </c>
      <c r="E48" s="3" t="b">
        <v>1</v>
      </c>
      <c r="F48" s="2" t="b">
        <v>0</v>
      </c>
      <c r="G48" s="3" t="b">
        <v>1</v>
      </c>
    </row>
    <row r="49" spans="2:7" x14ac:dyDescent="0.2">
      <c r="B49" t="s">
        <v>11</v>
      </c>
      <c r="C49">
        <v>7.5154728262879198</v>
      </c>
      <c r="D49">
        <v>0.96739959716796797</v>
      </c>
      <c r="E49" s="3" t="b">
        <v>1</v>
      </c>
      <c r="F49" s="2" t="b">
        <v>0</v>
      </c>
      <c r="G49" s="3" t="b">
        <v>1</v>
      </c>
    </row>
    <row r="50" spans="2:7" x14ac:dyDescent="0.2">
      <c r="B50" t="s">
        <v>25</v>
      </c>
      <c r="C50">
        <v>2.7444469282207602</v>
      </c>
      <c r="D50">
        <v>13.499168395996</v>
      </c>
      <c r="E50" s="2" t="b">
        <v>0</v>
      </c>
      <c r="F50" s="3" t="b">
        <v>1</v>
      </c>
      <c r="G50" s="3" t="b">
        <v>1</v>
      </c>
    </row>
  </sheetData>
  <mergeCells count="9">
    <mergeCell ref="J36:J41"/>
    <mergeCell ref="B35:G35"/>
    <mergeCell ref="P2:U2"/>
    <mergeCell ref="I2:N2"/>
    <mergeCell ref="B2:G2"/>
    <mergeCell ref="B18:G18"/>
    <mergeCell ref="I18:N18"/>
    <mergeCell ref="P18:U18"/>
    <mergeCell ref="M34:N34"/>
  </mergeCells>
  <pageMargins left="0.7" right="0.7" top="0.75" bottom="0.75" header="0.3" footer="0.3"/>
  <ignoredErrors>
    <ignoredError sqref="N3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 Marie Roob</dc:creator>
  <cp:lastModifiedBy>Taekyung Kim</cp:lastModifiedBy>
  <dcterms:created xsi:type="dcterms:W3CDTF">2025-11-11T14:33:23Z</dcterms:created>
  <dcterms:modified xsi:type="dcterms:W3CDTF">2025-11-13T13:04:16Z</dcterms:modified>
</cp:coreProperties>
</file>