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a74d28c6521726/Documentos/Joensuu/IP/IndustrialProject/organised_code/"/>
    </mc:Choice>
  </mc:AlternateContent>
  <xr:revisionPtr revIDLastSave="172" documentId="13_ncr:1_{C1B39BD3-CE74-B046-8F84-95C24AF31352}" xr6:coauthVersionLast="47" xr6:coauthVersionMax="47" xr10:uidLastSave="{8CEF753D-3595-483A-BCAD-A15DABAE9EB4}"/>
  <bookViews>
    <workbookView xWindow="-108" yWindow="-108" windowWidth="23256" windowHeight="12456" xr2:uid="{F89DFC77-8F58-471C-AD01-676242773B2E}"/>
  </bookViews>
  <sheets>
    <sheet name="2.8" sheetId="1" r:id="rId1"/>
    <sheet name="1.5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2" l="1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G40" i="2" s="1"/>
  <c r="F39" i="2"/>
  <c r="E39" i="2"/>
  <c r="G39" i="2" s="1"/>
  <c r="F38" i="2"/>
  <c r="E38" i="2"/>
  <c r="G38" i="2" s="1"/>
  <c r="F37" i="2"/>
  <c r="E37" i="2"/>
  <c r="G37" i="2" s="1"/>
  <c r="P30" i="2"/>
  <c r="O30" i="2"/>
  <c r="P29" i="2"/>
  <c r="O29" i="2"/>
  <c r="P28" i="2"/>
  <c r="O28" i="2"/>
  <c r="P27" i="2"/>
  <c r="O27" i="2"/>
  <c r="P26" i="2"/>
  <c r="O26" i="2"/>
  <c r="P25" i="2"/>
  <c r="O25" i="2"/>
  <c r="Q25" i="2" s="1"/>
  <c r="P24" i="2"/>
  <c r="O24" i="2"/>
  <c r="P23" i="2"/>
  <c r="O23" i="2"/>
  <c r="Q23" i="2" s="1"/>
  <c r="P22" i="2"/>
  <c r="O22" i="2"/>
  <c r="Q22" i="2" s="1"/>
  <c r="P21" i="2"/>
  <c r="O21" i="2"/>
  <c r="Q21" i="2" s="1"/>
  <c r="P20" i="2"/>
  <c r="O20" i="2"/>
  <c r="Q20" i="2" s="1"/>
  <c r="K30" i="2"/>
  <c r="J30" i="2"/>
  <c r="K29" i="2"/>
  <c r="J29" i="2"/>
  <c r="K28" i="2"/>
  <c r="J28" i="2"/>
  <c r="K27" i="2"/>
  <c r="J27" i="2"/>
  <c r="K26" i="2"/>
  <c r="J26" i="2"/>
  <c r="K25" i="2"/>
  <c r="J25" i="2"/>
  <c r="L25" i="2" s="1"/>
  <c r="K24" i="2"/>
  <c r="J24" i="2"/>
  <c r="K23" i="2"/>
  <c r="J23" i="2"/>
  <c r="L23" i="2" s="1"/>
  <c r="K22" i="2"/>
  <c r="J22" i="2"/>
  <c r="L22" i="2" s="1"/>
  <c r="K21" i="2"/>
  <c r="J21" i="2"/>
  <c r="L21" i="2" s="1"/>
  <c r="K20" i="2"/>
  <c r="J20" i="2"/>
  <c r="L20" i="2" s="1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G23" i="2" s="1"/>
  <c r="F22" i="2"/>
  <c r="E22" i="2"/>
  <c r="G22" i="2" s="1"/>
  <c r="F21" i="2"/>
  <c r="E21" i="2"/>
  <c r="G21" i="2" s="1"/>
  <c r="F20" i="2"/>
  <c r="E20" i="2"/>
  <c r="G20" i="2" s="1"/>
  <c r="P14" i="2"/>
  <c r="O14" i="2"/>
  <c r="P13" i="2"/>
  <c r="O13" i="2"/>
  <c r="P12" i="2"/>
  <c r="O12" i="2"/>
  <c r="P11" i="2"/>
  <c r="O11" i="2"/>
  <c r="P10" i="2"/>
  <c r="O10" i="2"/>
  <c r="P9" i="2"/>
  <c r="O9" i="2"/>
  <c r="Q9" i="2" s="1"/>
  <c r="P8" i="2"/>
  <c r="O8" i="2"/>
  <c r="P7" i="2"/>
  <c r="O7" i="2"/>
  <c r="Q7" i="2" s="1"/>
  <c r="P6" i="2"/>
  <c r="O6" i="2"/>
  <c r="Q6" i="2" s="1"/>
  <c r="P5" i="2"/>
  <c r="O5" i="2"/>
  <c r="Q5" i="2" s="1"/>
  <c r="P4" i="2"/>
  <c r="O4" i="2"/>
  <c r="Q4" i="2" s="1"/>
  <c r="K14" i="2"/>
  <c r="J14" i="2"/>
  <c r="K13" i="2"/>
  <c r="J13" i="2"/>
  <c r="K12" i="2"/>
  <c r="J12" i="2"/>
  <c r="K11" i="2"/>
  <c r="J11" i="2"/>
  <c r="K10" i="2"/>
  <c r="J10" i="2"/>
  <c r="L10" i="2" s="1"/>
  <c r="K9" i="2"/>
  <c r="J9" i="2"/>
  <c r="L9" i="2" s="1"/>
  <c r="K8" i="2"/>
  <c r="J8" i="2"/>
  <c r="K7" i="2"/>
  <c r="J7" i="2"/>
  <c r="K6" i="2"/>
  <c r="J6" i="2"/>
  <c r="L6" i="2" s="1"/>
  <c r="K5" i="2"/>
  <c r="J5" i="2"/>
  <c r="L5" i="2" s="1"/>
  <c r="K4" i="2"/>
  <c r="J4" i="2"/>
  <c r="L4" i="2" s="1"/>
  <c r="F5" i="2"/>
  <c r="F6" i="2"/>
  <c r="F7" i="2"/>
  <c r="F8" i="2"/>
  <c r="F9" i="2"/>
  <c r="F10" i="2"/>
  <c r="F11" i="2"/>
  <c r="F12" i="2"/>
  <c r="F13" i="2"/>
  <c r="F14" i="2"/>
  <c r="F4" i="2"/>
  <c r="E4" i="2"/>
  <c r="E5" i="2"/>
  <c r="E6" i="2"/>
  <c r="E7" i="2"/>
  <c r="E8" i="2"/>
  <c r="E9" i="2"/>
  <c r="E10" i="2"/>
  <c r="E11" i="2"/>
  <c r="G11" i="2" s="1"/>
  <c r="E12" i="2"/>
  <c r="G12" i="2" s="1"/>
  <c r="E13" i="2"/>
  <c r="G13" i="2" s="1"/>
  <c r="E14" i="2"/>
  <c r="G14" i="2" s="1"/>
  <c r="E49" i="2"/>
  <c r="G49" i="2" s="1"/>
  <c r="F49" i="2"/>
  <c r="E50" i="2"/>
  <c r="F50" i="2"/>
  <c r="G50" i="2"/>
  <c r="G48" i="2"/>
  <c r="F48" i="2"/>
  <c r="E48" i="2"/>
  <c r="G47" i="2"/>
  <c r="G46" i="2"/>
  <c r="G45" i="2"/>
  <c r="G44" i="2"/>
  <c r="G43" i="2"/>
  <c r="G42" i="2"/>
  <c r="G41" i="2"/>
  <c r="O31" i="2"/>
  <c r="P31" i="2"/>
  <c r="Q31" i="2"/>
  <c r="J31" i="2"/>
  <c r="K31" i="2"/>
  <c r="L31" i="2"/>
  <c r="E31" i="2"/>
  <c r="F31" i="2"/>
  <c r="G31" i="2"/>
  <c r="Q30" i="2"/>
  <c r="Q29" i="2"/>
  <c r="Q28" i="2"/>
  <c r="Q27" i="2"/>
  <c r="Q26" i="2"/>
  <c r="Q24" i="2"/>
  <c r="L30" i="2"/>
  <c r="L29" i="2"/>
  <c r="L28" i="2"/>
  <c r="L27" i="2"/>
  <c r="L26" i="2"/>
  <c r="L24" i="2"/>
  <c r="G30" i="2"/>
  <c r="G29" i="2"/>
  <c r="G28" i="2"/>
  <c r="G27" i="2"/>
  <c r="G26" i="2"/>
  <c r="G25" i="2"/>
  <c r="G24" i="2"/>
  <c r="Q14" i="2"/>
  <c r="Q13" i="2"/>
  <c r="Q12" i="2"/>
  <c r="Q11" i="2"/>
  <c r="Q10" i="2"/>
  <c r="Q8" i="2"/>
  <c r="L14" i="2"/>
  <c r="L13" i="2"/>
  <c r="L12" i="2"/>
  <c r="L11" i="2"/>
  <c r="L8" i="2"/>
  <c r="L7" i="2"/>
  <c r="G6" i="2"/>
  <c r="G8" i="2"/>
  <c r="G9" i="2"/>
  <c r="G10" i="2"/>
  <c r="AF4" i="1"/>
  <c r="G5" i="2" l="1"/>
  <c r="G7" i="2"/>
  <c r="G4" i="2"/>
</calcChain>
</file>

<file path=xl/sharedStrings.xml><?xml version="1.0" encoding="utf-8"?>
<sst xmlns="http://schemas.openxmlformats.org/spreadsheetml/2006/main" count="213" uniqueCount="48">
  <si>
    <t>defect_id</t>
  </si>
  <si>
    <t>DE_mean</t>
  </si>
  <si>
    <t>CTQ1</t>
  </si>
  <si>
    <t>CTQ2</t>
  </si>
  <si>
    <t>Defect?</t>
  </si>
  <si>
    <t>d0</t>
  </si>
  <si>
    <t>d3</t>
  </si>
  <si>
    <t>d4</t>
  </si>
  <si>
    <t>d7</t>
  </si>
  <si>
    <t>d10</t>
  </si>
  <si>
    <t>d12</t>
  </si>
  <si>
    <t>d13</t>
  </si>
  <si>
    <t>d18</t>
  </si>
  <si>
    <t>d19</t>
  </si>
  <si>
    <t>d20</t>
  </si>
  <si>
    <t>d21</t>
  </si>
  <si>
    <t>d22</t>
  </si>
  <si>
    <t>Training</t>
  </si>
  <si>
    <t>d1</t>
  </si>
  <si>
    <t>d2</t>
  </si>
  <si>
    <t>d5</t>
  </si>
  <si>
    <t>d6</t>
  </si>
  <si>
    <t>d8</t>
  </si>
  <si>
    <t>d9</t>
  </si>
  <si>
    <t>d11</t>
  </si>
  <si>
    <t>d14</t>
  </si>
  <si>
    <t>D_radius</t>
  </si>
  <si>
    <t>s</t>
  </si>
  <si>
    <t>Operator 1</t>
  </si>
  <si>
    <t>Operator 2</t>
  </si>
  <si>
    <t>Operator 3</t>
  </si>
  <si>
    <t>values1</t>
  </si>
  <si>
    <t>values2</t>
  </si>
  <si>
    <t>values3</t>
  </si>
  <si>
    <t>values4</t>
  </si>
  <si>
    <t>values5</t>
  </si>
  <si>
    <t>values6</t>
  </si>
  <si>
    <t>Train</t>
  </si>
  <si>
    <t>Test</t>
  </si>
  <si>
    <t>Trial</t>
  </si>
  <si>
    <t>Operator</t>
  </si>
  <si>
    <t>Accuracy</t>
  </si>
  <si>
    <t>13/14</t>
  </si>
  <si>
    <t>Defect ID</t>
  </si>
  <si>
    <t>Variance within sample</t>
  </si>
  <si>
    <t>Delta E</t>
  </si>
  <si>
    <t>D Radius</t>
  </si>
  <si>
    <t>3/6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</si>
</sst>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quotePrefix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" xfId="0" applyFont="1" applyBorder="1"/>
    <xf numFmtId="0" fontId="0" fillId="0" borderId="0" xfId="0" quotePrefix="1"/>
    <xf numFmtId="164" fontId="0" fillId="0" borderId="5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0A7-B0DB-466E-B56E-1429716CCF6F}">
  <dimension ref="B2:AF50"/>
  <sheetViews>
    <sheetView tabSelected="1" zoomScale="93" workbookViewId="0">
      <selection activeCell="G8" sqref="G8"/>
    </sheetView>
  </sheetViews>
  <sheetFormatPr defaultColWidth="8.77734375" defaultRowHeight="14.4" x14ac:dyDescent="0.3"/>
  <sheetData>
    <row r="2" spans="2:32" x14ac:dyDescent="0.3">
      <c r="B2" s="24" t="s">
        <v>28</v>
      </c>
      <c r="C2" s="25"/>
      <c r="D2" s="25"/>
      <c r="E2" s="25"/>
      <c r="F2" s="25"/>
      <c r="G2" s="26"/>
      <c r="H2" s="25" t="s">
        <v>29</v>
      </c>
      <c r="I2" s="25"/>
      <c r="J2" s="25"/>
      <c r="K2" s="25"/>
      <c r="L2" s="26"/>
      <c r="M2" s="25" t="s">
        <v>30</v>
      </c>
      <c r="N2" s="25"/>
      <c r="O2" s="25"/>
      <c r="P2" s="25"/>
      <c r="Q2" s="26"/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</row>
    <row r="3" spans="2:32" x14ac:dyDescent="0.3">
      <c r="B3" s="2" t="s">
        <v>0</v>
      </c>
      <c r="C3" s="4" t="s">
        <v>1</v>
      </c>
      <c r="D3" s="3" t="s">
        <v>26</v>
      </c>
      <c r="E3" s="4" t="s">
        <v>2</v>
      </c>
      <c r="F3" s="3" t="s">
        <v>3</v>
      </c>
      <c r="G3" s="4" t="s">
        <v>4</v>
      </c>
      <c r="H3" s="4" t="s">
        <v>1</v>
      </c>
      <c r="I3" s="3" t="s">
        <v>26</v>
      </c>
      <c r="J3" s="4" t="s">
        <v>2</v>
      </c>
      <c r="K3" s="3" t="s">
        <v>3</v>
      </c>
      <c r="L3" s="4" t="s">
        <v>4</v>
      </c>
      <c r="M3" s="4" t="s">
        <v>1</v>
      </c>
      <c r="N3" s="3" t="s">
        <v>26</v>
      </c>
      <c r="O3" s="4" t="s">
        <v>2</v>
      </c>
      <c r="P3" s="3" t="s">
        <v>3</v>
      </c>
      <c r="Q3" s="4" t="s">
        <v>4</v>
      </c>
      <c r="T3" s="5">
        <v>5.72563316581547</v>
      </c>
      <c r="U3" s="5">
        <v>5.9395085286211096</v>
      </c>
      <c r="V3" s="5">
        <v>5.5038115642197898</v>
      </c>
      <c r="W3" s="5">
        <v>1.4098896472248199</v>
      </c>
      <c r="X3" s="5">
        <v>1.31863278128399</v>
      </c>
      <c r="Y3" s="5">
        <v>1.3584323212001801</v>
      </c>
      <c r="AC3" t="s">
        <v>39</v>
      </c>
      <c r="AD3" t="s">
        <v>40</v>
      </c>
      <c r="AE3" t="s">
        <v>41</v>
      </c>
    </row>
    <row r="4" spans="2:32" x14ac:dyDescent="0.3">
      <c r="B4" s="12" t="s">
        <v>6</v>
      </c>
      <c r="C4" s="5">
        <v>5.72563316581547</v>
      </c>
      <c r="D4" s="6">
        <v>0.37480926513671797</v>
      </c>
      <c r="E4" s="7" t="b">
        <v>1</v>
      </c>
      <c r="F4" s="7" t="b">
        <v>0</v>
      </c>
      <c r="G4" s="7" t="b">
        <v>1</v>
      </c>
      <c r="H4" s="5">
        <v>5.9395085286211096</v>
      </c>
      <c r="I4" s="6">
        <v>0.42583847045898399</v>
      </c>
      <c r="J4" s="7" t="b">
        <v>1</v>
      </c>
      <c r="K4" s="7" t="b">
        <v>0</v>
      </c>
      <c r="L4" s="7" t="b">
        <v>1</v>
      </c>
      <c r="M4" s="5">
        <v>5.5038115642197898</v>
      </c>
      <c r="N4" s="6">
        <v>0.50401687622070301</v>
      </c>
      <c r="O4" s="7" t="b">
        <v>1</v>
      </c>
      <c r="P4" s="7" t="b">
        <v>0</v>
      </c>
      <c r="Q4" s="7" t="b">
        <v>1</v>
      </c>
      <c r="T4" s="5">
        <v>1.74568302366456</v>
      </c>
      <c r="U4" s="5">
        <v>1.5932968625953901</v>
      </c>
      <c r="V4" s="5">
        <v>1.50656892534314</v>
      </c>
      <c r="W4" s="5">
        <v>6.05723884822965</v>
      </c>
      <c r="X4" s="5">
        <v>6.0263923095638701</v>
      </c>
      <c r="Y4" s="5">
        <v>6.2201817673284303</v>
      </c>
      <c r="AB4" t="s">
        <v>37</v>
      </c>
      <c r="AE4" s="15" t="s">
        <v>42</v>
      </c>
      <c r="AF4">
        <f>13/14</f>
        <v>0.9285714285714286</v>
      </c>
    </row>
    <row r="5" spans="2:32" x14ac:dyDescent="0.3">
      <c r="B5" s="12" t="s">
        <v>7</v>
      </c>
      <c r="C5" s="5">
        <v>1.74568302366456</v>
      </c>
      <c r="D5" s="6">
        <v>2.3433685302734299E-2</v>
      </c>
      <c r="E5" s="8" t="b">
        <v>0</v>
      </c>
      <c r="F5" s="8" t="b">
        <v>0</v>
      </c>
      <c r="G5" s="8" t="b">
        <v>0</v>
      </c>
      <c r="H5" s="5">
        <v>1.5932968625953901</v>
      </c>
      <c r="I5" s="6">
        <v>0.37971878051757801</v>
      </c>
      <c r="J5" s="8" t="b">
        <v>0</v>
      </c>
      <c r="K5" s="8" t="b">
        <v>0</v>
      </c>
      <c r="L5" s="8" t="b">
        <v>0</v>
      </c>
      <c r="M5" s="5">
        <v>1.50656892534314</v>
      </c>
      <c r="N5" s="6">
        <v>0.69505691528320301</v>
      </c>
      <c r="O5" s="8" t="b">
        <v>0</v>
      </c>
      <c r="P5" s="8" t="b">
        <v>0</v>
      </c>
      <c r="Q5" s="8" t="b">
        <v>0</v>
      </c>
      <c r="T5" s="5">
        <v>2.62170023782567</v>
      </c>
      <c r="U5" s="5">
        <v>2.7117729396116599</v>
      </c>
      <c r="V5" s="5">
        <v>2.6556314832825998</v>
      </c>
      <c r="W5" s="5">
        <v>1.4378790617617601</v>
      </c>
      <c r="X5" s="5">
        <v>1.3854668770235601</v>
      </c>
      <c r="Y5" s="5">
        <v>1.4580973146399701</v>
      </c>
      <c r="AB5" t="s">
        <v>38</v>
      </c>
      <c r="AC5">
        <v>1</v>
      </c>
      <c r="AD5">
        <v>1</v>
      </c>
    </row>
    <row r="6" spans="2:32" x14ac:dyDescent="0.3">
      <c r="B6" s="12" t="s">
        <v>8</v>
      </c>
      <c r="C6" s="5">
        <v>2.62170023782567</v>
      </c>
      <c r="D6" s="6">
        <v>0.99522781372070301</v>
      </c>
      <c r="E6" s="8" t="b">
        <v>0</v>
      </c>
      <c r="F6" s="8" t="b">
        <v>0</v>
      </c>
      <c r="G6" s="8" t="b">
        <v>0</v>
      </c>
      <c r="H6" s="5">
        <v>2.7117729396116599</v>
      </c>
      <c r="I6" s="6">
        <v>0.73147964477538996</v>
      </c>
      <c r="J6" s="8" t="b">
        <v>0</v>
      </c>
      <c r="K6" s="8" t="b">
        <v>0</v>
      </c>
      <c r="L6" s="8" t="b">
        <v>0</v>
      </c>
      <c r="M6" s="5">
        <v>2.6556314832825998</v>
      </c>
      <c r="N6" s="6">
        <v>0.59937667846679599</v>
      </c>
      <c r="O6" s="8" t="b">
        <v>0</v>
      </c>
      <c r="P6" s="8" t="b">
        <v>0</v>
      </c>
      <c r="Q6" s="8" t="b">
        <v>0</v>
      </c>
      <c r="T6" s="5">
        <v>5.2340417403664796</v>
      </c>
      <c r="U6" s="5">
        <v>4.9628365722071299</v>
      </c>
      <c r="V6" s="5">
        <v>5.0097961684732999</v>
      </c>
      <c r="W6" s="5">
        <v>2.4999857341683902</v>
      </c>
      <c r="X6" s="5">
        <v>2.50962899928339</v>
      </c>
      <c r="Y6" s="5">
        <v>2.6338358318604498</v>
      </c>
      <c r="AC6">
        <v>1</v>
      </c>
      <c r="AD6">
        <v>2</v>
      </c>
    </row>
    <row r="7" spans="2:32" x14ac:dyDescent="0.3">
      <c r="B7" s="12" t="s">
        <v>9</v>
      </c>
      <c r="C7" s="5">
        <v>5.2340417403664796</v>
      </c>
      <c r="D7" s="6">
        <v>1.1360969543457</v>
      </c>
      <c r="E7" s="8" t="b">
        <v>1</v>
      </c>
      <c r="F7" s="8" t="b">
        <v>0</v>
      </c>
      <c r="G7" s="8" t="b">
        <v>1</v>
      </c>
      <c r="H7" s="5">
        <v>4.9628365722071299</v>
      </c>
      <c r="I7" s="6">
        <v>0.98382568359375</v>
      </c>
      <c r="J7" s="8" t="b">
        <v>1</v>
      </c>
      <c r="K7" s="8" t="b">
        <v>0</v>
      </c>
      <c r="L7" s="8" t="b">
        <v>1</v>
      </c>
      <c r="M7" s="5">
        <v>5.0097961684732999</v>
      </c>
      <c r="N7" s="6">
        <v>1.03725814819335</v>
      </c>
      <c r="O7" s="8" t="b">
        <v>1</v>
      </c>
      <c r="P7" s="8" t="b">
        <v>0</v>
      </c>
      <c r="Q7" s="8" t="b">
        <v>1</v>
      </c>
      <c r="T7" s="5">
        <v>3.32240483683348</v>
      </c>
      <c r="U7" s="5">
        <v>2.5892637785000501</v>
      </c>
      <c r="V7" s="5">
        <v>3.1604014569358898</v>
      </c>
      <c r="W7" s="5">
        <v>5.0445708758180103</v>
      </c>
      <c r="X7" s="5">
        <v>5.26902868077494</v>
      </c>
      <c r="Y7" s="5">
        <v>4.9461015740754899</v>
      </c>
      <c r="AC7">
        <v>1</v>
      </c>
      <c r="AD7">
        <v>3</v>
      </c>
    </row>
    <row r="8" spans="2:32" x14ac:dyDescent="0.3">
      <c r="B8" s="12" t="s">
        <v>10</v>
      </c>
      <c r="C8" s="5">
        <v>3.32240483683348</v>
      </c>
      <c r="D8" s="6">
        <v>0.47125625610351501</v>
      </c>
      <c r="E8" s="8" t="b">
        <v>1</v>
      </c>
      <c r="F8" s="8" t="b">
        <v>0</v>
      </c>
      <c r="G8" s="8" t="b">
        <v>1</v>
      </c>
      <c r="H8" s="5">
        <v>2.5892637785000501</v>
      </c>
      <c r="I8" s="6">
        <v>0.290802001953125</v>
      </c>
      <c r="J8" s="8" t="b">
        <v>0</v>
      </c>
      <c r="K8" s="8" t="b">
        <v>0</v>
      </c>
      <c r="L8" s="8" t="b">
        <v>0</v>
      </c>
      <c r="M8" s="5">
        <v>3.1604014569358898</v>
      </c>
      <c r="N8" s="6">
        <v>0.61192321777343694</v>
      </c>
      <c r="O8" s="8" t="b">
        <v>1</v>
      </c>
      <c r="P8" s="8" t="b">
        <v>0</v>
      </c>
      <c r="Q8" s="8" t="b">
        <v>1</v>
      </c>
      <c r="T8" s="5">
        <v>1.59958126641329</v>
      </c>
      <c r="U8" s="5">
        <v>1.71520118083041</v>
      </c>
      <c r="V8" s="5">
        <v>1.7283553847119899</v>
      </c>
      <c r="W8" s="5">
        <v>3.1328385670638399</v>
      </c>
      <c r="X8" s="5">
        <v>3.2202546627281801</v>
      </c>
      <c r="Y8" s="5">
        <v>2.9466982320235098</v>
      </c>
      <c r="AC8">
        <v>2</v>
      </c>
      <c r="AD8">
        <v>1</v>
      </c>
    </row>
    <row r="9" spans="2:32" x14ac:dyDescent="0.3">
      <c r="B9" s="12" t="s">
        <v>11</v>
      </c>
      <c r="C9" s="5">
        <v>1.59958126641329</v>
      </c>
      <c r="D9" s="6">
        <v>3.8085289001464799</v>
      </c>
      <c r="E9" s="8" t="b">
        <v>0</v>
      </c>
      <c r="F9" s="8" t="b">
        <v>1</v>
      </c>
      <c r="G9" s="8" t="b">
        <v>1</v>
      </c>
      <c r="H9" s="5">
        <v>1.71520118083041</v>
      </c>
      <c r="I9" s="6">
        <v>3.4907264709472599</v>
      </c>
      <c r="J9" s="8" t="b">
        <v>0</v>
      </c>
      <c r="K9" s="8" t="b">
        <v>1</v>
      </c>
      <c r="L9" s="8" t="b">
        <v>1</v>
      </c>
      <c r="M9" s="5">
        <v>1.7283553847119899</v>
      </c>
      <c r="N9" s="6">
        <v>3.8440628051757799</v>
      </c>
      <c r="O9" s="8" t="b">
        <v>0</v>
      </c>
      <c r="P9" s="8" t="b">
        <v>1</v>
      </c>
      <c r="Q9" s="8" t="b">
        <v>1</v>
      </c>
      <c r="T9" s="5">
        <v>1.6667398342195601</v>
      </c>
      <c r="U9" s="5">
        <v>1.69034157838304</v>
      </c>
      <c r="V9" s="5">
        <v>1.6541846648982901</v>
      </c>
      <c r="W9" s="5">
        <v>1.6968027130741801</v>
      </c>
      <c r="X9" s="5">
        <v>1.69641011818717</v>
      </c>
      <c r="Y9" s="5">
        <v>1.6762979912373399</v>
      </c>
      <c r="AC9">
        <v>2</v>
      </c>
      <c r="AD9">
        <v>2</v>
      </c>
    </row>
    <row r="10" spans="2:32" x14ac:dyDescent="0.3">
      <c r="B10" s="12" t="s">
        <v>12</v>
      </c>
      <c r="C10" s="5">
        <v>1.6667398342195601</v>
      </c>
      <c r="D10" s="6">
        <v>5.3327178955078098</v>
      </c>
      <c r="E10" s="8" t="b">
        <v>0</v>
      </c>
      <c r="F10" s="8" t="b">
        <v>1</v>
      </c>
      <c r="G10" s="8" t="b">
        <v>1</v>
      </c>
      <c r="H10" s="5">
        <v>1.69034157838304</v>
      </c>
      <c r="I10" s="6">
        <v>5.0071334838867099</v>
      </c>
      <c r="J10" s="8" t="b">
        <v>0</v>
      </c>
      <c r="K10" s="8" t="b">
        <v>1</v>
      </c>
      <c r="L10" s="8" t="b">
        <v>1</v>
      </c>
      <c r="M10" s="5">
        <v>1.6541846648982901</v>
      </c>
      <c r="N10" s="6">
        <v>5.1851539611816397</v>
      </c>
      <c r="O10" s="8" t="b">
        <v>0</v>
      </c>
      <c r="P10" s="8" t="b">
        <v>1</v>
      </c>
      <c r="Q10" s="8" t="b">
        <v>1</v>
      </c>
      <c r="T10" s="5">
        <v>2.0649701575650599</v>
      </c>
      <c r="U10" s="5">
        <v>2.0059853464587301</v>
      </c>
      <c r="V10" s="5">
        <v>2.1799566969462001</v>
      </c>
      <c r="W10" s="5">
        <v>1.92346429373739</v>
      </c>
      <c r="X10" s="5">
        <v>1.82275920839663</v>
      </c>
      <c r="Y10" s="5">
        <v>1.8835680046957499</v>
      </c>
      <c r="AC10">
        <v>2</v>
      </c>
      <c r="AD10">
        <v>3</v>
      </c>
    </row>
    <row r="11" spans="2:32" x14ac:dyDescent="0.3">
      <c r="B11" s="12" t="s">
        <v>13</v>
      </c>
      <c r="C11" s="5">
        <v>2.0649701575650599</v>
      </c>
      <c r="D11" s="6">
        <v>0.56644439697265603</v>
      </c>
      <c r="E11" s="8" t="b">
        <v>0</v>
      </c>
      <c r="F11" s="8" t="b">
        <v>0</v>
      </c>
      <c r="G11" s="8" t="b">
        <v>0</v>
      </c>
      <c r="H11" s="5">
        <v>2.0059853464587301</v>
      </c>
      <c r="I11" s="6">
        <v>0.54853820800781194</v>
      </c>
      <c r="J11" s="8" t="b">
        <v>0</v>
      </c>
      <c r="K11" s="8" t="b">
        <v>0</v>
      </c>
      <c r="L11" s="8" t="b">
        <v>0</v>
      </c>
      <c r="M11" s="5">
        <v>2.1799566969462001</v>
      </c>
      <c r="N11" s="6">
        <v>0.17962265014648399</v>
      </c>
      <c r="O11" s="8" t="b">
        <v>0</v>
      </c>
      <c r="P11" s="8" t="b">
        <v>0</v>
      </c>
      <c r="Q11" s="8" t="b">
        <v>0</v>
      </c>
      <c r="T11" s="5">
        <v>1.5618885220416701</v>
      </c>
      <c r="U11" s="5">
        <v>1.8369872442239501</v>
      </c>
      <c r="V11" s="5">
        <v>1.5624486530661901</v>
      </c>
      <c r="W11" s="5">
        <v>1.95635089847632</v>
      </c>
      <c r="X11" s="5">
        <v>2.2494420490525302</v>
      </c>
      <c r="Y11" s="5">
        <v>2.0082607201853899</v>
      </c>
    </row>
    <row r="12" spans="2:32" x14ac:dyDescent="0.3">
      <c r="B12" s="12" t="s">
        <v>14</v>
      </c>
      <c r="C12" s="5">
        <v>1.5618885220416701</v>
      </c>
      <c r="D12" s="6">
        <v>0.48279571533203097</v>
      </c>
      <c r="E12" s="8" t="b">
        <v>0</v>
      </c>
      <c r="F12" s="8" t="b">
        <v>0</v>
      </c>
      <c r="G12" s="8" t="b">
        <v>0</v>
      </c>
      <c r="H12" s="5">
        <v>1.8369872442239501</v>
      </c>
      <c r="I12" s="6">
        <v>0.83672332763671797</v>
      </c>
      <c r="J12" s="8" t="b">
        <v>0</v>
      </c>
      <c r="K12" s="8" t="b">
        <v>0</v>
      </c>
      <c r="L12" s="8" t="b">
        <v>0</v>
      </c>
      <c r="M12" s="5">
        <v>1.5624486530661901</v>
      </c>
      <c r="N12" s="6">
        <v>5.6610107421875E-2</v>
      </c>
      <c r="O12" s="8" t="b">
        <v>0</v>
      </c>
      <c r="P12" s="8" t="b">
        <v>0</v>
      </c>
      <c r="Q12" s="8" t="b">
        <v>0</v>
      </c>
      <c r="T12" s="5">
        <v>2.1244220105687299</v>
      </c>
      <c r="U12" s="5">
        <v>2.0796634926872501</v>
      </c>
      <c r="V12" s="5">
        <v>1.9886826419550301</v>
      </c>
      <c r="W12" s="5">
        <v>1.5959264412037399</v>
      </c>
      <c r="X12" s="5">
        <v>1.59907634285292</v>
      </c>
      <c r="Y12" s="5">
        <v>1.51156618293247</v>
      </c>
    </row>
    <row r="13" spans="2:32" x14ac:dyDescent="0.3">
      <c r="B13" s="12" t="s">
        <v>15</v>
      </c>
      <c r="C13" s="5">
        <v>2.1244220105687299</v>
      </c>
      <c r="D13" s="6">
        <v>12.0164222717285</v>
      </c>
      <c r="E13" s="8" t="b">
        <v>0</v>
      </c>
      <c r="F13" s="8" t="b">
        <v>1</v>
      </c>
      <c r="G13" s="8" t="b">
        <v>1</v>
      </c>
      <c r="H13" s="5">
        <v>2.0796634926872501</v>
      </c>
      <c r="I13" s="6">
        <v>12.0490417480468</v>
      </c>
      <c r="J13" s="8" t="b">
        <v>0</v>
      </c>
      <c r="K13" s="8" t="b">
        <v>1</v>
      </c>
      <c r="L13" s="8" t="b">
        <v>1</v>
      </c>
      <c r="M13" s="5">
        <v>1.9886826419550301</v>
      </c>
      <c r="N13" s="6">
        <v>11.892494201660099</v>
      </c>
      <c r="O13" s="8" t="b">
        <v>0</v>
      </c>
      <c r="P13" s="8" t="b">
        <v>1</v>
      </c>
      <c r="Q13" s="8" t="b">
        <v>1</v>
      </c>
      <c r="T13" s="9">
        <v>4.33490390152323</v>
      </c>
      <c r="U13" s="9">
        <v>2.76243755827534</v>
      </c>
      <c r="V13" s="9">
        <v>3.9800509285564698</v>
      </c>
      <c r="W13" s="5">
        <v>2.06490873847414</v>
      </c>
      <c r="X13" s="5">
        <v>2.0799663992655399</v>
      </c>
      <c r="Y13" s="5">
        <v>2.0963880953373701</v>
      </c>
    </row>
    <row r="14" spans="2:32" x14ac:dyDescent="0.3">
      <c r="B14" s="13" t="s">
        <v>16</v>
      </c>
      <c r="C14" s="9">
        <v>4.33490390152323</v>
      </c>
      <c r="D14" s="10">
        <v>4.1520500183105398</v>
      </c>
      <c r="E14" s="11" t="b">
        <v>1</v>
      </c>
      <c r="F14" s="11" t="b">
        <v>1</v>
      </c>
      <c r="G14" s="11" t="b">
        <v>1</v>
      </c>
      <c r="H14" s="9">
        <v>2.76243755827534</v>
      </c>
      <c r="I14" s="10">
        <v>3.1387519836425701</v>
      </c>
      <c r="J14" s="11" t="b">
        <v>0</v>
      </c>
      <c r="K14" s="11" t="b">
        <v>1</v>
      </c>
      <c r="L14" s="11" t="b">
        <v>1</v>
      </c>
      <c r="M14" s="9">
        <v>3.9800509285564698</v>
      </c>
      <c r="N14" s="10">
        <v>4.0176620483398402</v>
      </c>
      <c r="O14" s="11" t="b">
        <v>1</v>
      </c>
      <c r="P14" s="11" t="b">
        <v>1</v>
      </c>
      <c r="Q14" s="11" t="b">
        <v>1</v>
      </c>
      <c r="W14" s="9">
        <v>2.6562234390408501</v>
      </c>
      <c r="X14" s="9">
        <v>2.7592633097188699</v>
      </c>
      <c r="Y14" s="9">
        <v>2.8609600794506802</v>
      </c>
    </row>
    <row r="15" spans="2:32" x14ac:dyDescent="0.3">
      <c r="H15" s="1"/>
      <c r="N15" s="1"/>
    </row>
    <row r="18" spans="2:25" x14ac:dyDescent="0.3">
      <c r="B18" s="14"/>
      <c r="C18" s="24" t="s">
        <v>28</v>
      </c>
      <c r="D18" s="25"/>
      <c r="E18" s="25"/>
      <c r="F18" s="25"/>
      <c r="G18" s="26"/>
      <c r="H18" s="25" t="s">
        <v>29</v>
      </c>
      <c r="I18" s="25"/>
      <c r="J18" s="25"/>
      <c r="K18" s="25"/>
      <c r="L18" s="26"/>
      <c r="M18" s="25" t="s">
        <v>30</v>
      </c>
      <c r="N18" s="25"/>
      <c r="O18" s="25"/>
      <c r="P18" s="25"/>
      <c r="Q18" s="26"/>
      <c r="T18" t="s">
        <v>31</v>
      </c>
      <c r="U18" t="s">
        <v>32</v>
      </c>
      <c r="V18" t="s">
        <v>33</v>
      </c>
      <c r="W18" t="s">
        <v>34</v>
      </c>
      <c r="X18" t="s">
        <v>35</v>
      </c>
      <c r="Y18" t="s">
        <v>36</v>
      </c>
    </row>
    <row r="19" spans="2:25" x14ac:dyDescent="0.3">
      <c r="B19" s="2" t="s">
        <v>0</v>
      </c>
      <c r="C19" s="4" t="s">
        <v>1</v>
      </c>
      <c r="D19" s="3" t="s">
        <v>26</v>
      </c>
      <c r="E19" s="4" t="s">
        <v>2</v>
      </c>
      <c r="F19" s="3" t="s">
        <v>3</v>
      </c>
      <c r="G19" s="4" t="s">
        <v>4</v>
      </c>
      <c r="H19" s="4" t="s">
        <v>1</v>
      </c>
      <c r="I19" s="3" t="s">
        <v>26</v>
      </c>
      <c r="J19" s="4" t="s">
        <v>2</v>
      </c>
      <c r="K19" s="3" t="s">
        <v>3</v>
      </c>
      <c r="L19" s="4" t="s">
        <v>4</v>
      </c>
      <c r="M19" s="4" t="s">
        <v>1</v>
      </c>
      <c r="N19" s="3" t="s">
        <v>26</v>
      </c>
      <c r="O19" s="4" t="s">
        <v>2</v>
      </c>
      <c r="P19" s="3" t="s">
        <v>3</v>
      </c>
      <c r="Q19" s="4" t="s">
        <v>4</v>
      </c>
      <c r="T19" s="6">
        <v>0.37480926513671797</v>
      </c>
      <c r="U19" s="6">
        <v>0.42583847045898399</v>
      </c>
      <c r="V19" s="6">
        <v>0.50401687622070301</v>
      </c>
      <c r="W19" s="6">
        <v>0.42660140991210899</v>
      </c>
      <c r="X19" s="6">
        <v>0.3255615234375</v>
      </c>
      <c r="Y19" s="6">
        <v>0.42073822021484297</v>
      </c>
    </row>
    <row r="20" spans="2:25" x14ac:dyDescent="0.3">
      <c r="B20" s="12" t="s">
        <v>5</v>
      </c>
      <c r="C20" s="5">
        <v>1.4098896472248199</v>
      </c>
      <c r="D20" s="6">
        <v>0.42660140991210899</v>
      </c>
      <c r="E20" s="7" t="b">
        <v>0</v>
      </c>
      <c r="F20" s="7" t="b">
        <v>0</v>
      </c>
      <c r="G20" s="7" t="b">
        <v>0</v>
      </c>
      <c r="H20" s="5">
        <v>1.31863278128399</v>
      </c>
      <c r="I20" s="6">
        <v>0.3255615234375</v>
      </c>
      <c r="J20" s="7" t="b">
        <v>0</v>
      </c>
      <c r="K20" s="7" t="b">
        <v>0</v>
      </c>
      <c r="L20" s="7" t="b">
        <v>0</v>
      </c>
      <c r="M20" s="5">
        <v>1.3584323212001801</v>
      </c>
      <c r="N20" s="6">
        <v>0.42073822021484297</v>
      </c>
      <c r="O20" s="7" t="b">
        <v>0</v>
      </c>
      <c r="P20" s="7" t="b">
        <v>0</v>
      </c>
      <c r="Q20" s="7" t="b">
        <v>0</v>
      </c>
      <c r="T20" s="6">
        <v>2.3433685302734299E-2</v>
      </c>
      <c r="U20" s="6">
        <v>0.37971878051757801</v>
      </c>
      <c r="V20" s="6">
        <v>0.69505691528320301</v>
      </c>
      <c r="W20" s="6">
        <v>0.32321548461914001</v>
      </c>
      <c r="X20" s="6">
        <v>0.38386154174804599</v>
      </c>
      <c r="Y20" s="6">
        <v>0.47230911254882801</v>
      </c>
    </row>
    <row r="21" spans="2:25" x14ac:dyDescent="0.3">
      <c r="B21" s="12" t="s">
        <v>6</v>
      </c>
      <c r="C21" s="5">
        <v>6.05723884822965</v>
      </c>
      <c r="D21" s="6">
        <v>0.32321548461914001</v>
      </c>
      <c r="E21" s="8" t="b">
        <v>1</v>
      </c>
      <c r="F21" s="8" t="b">
        <v>0</v>
      </c>
      <c r="G21" s="8" t="b">
        <v>1</v>
      </c>
      <c r="H21" s="5">
        <v>6.0263923095638701</v>
      </c>
      <c r="I21" s="6">
        <v>0.38386154174804599</v>
      </c>
      <c r="J21" s="8" t="b">
        <v>1</v>
      </c>
      <c r="K21" s="8" t="b">
        <v>0</v>
      </c>
      <c r="L21" s="8" t="b">
        <v>1</v>
      </c>
      <c r="M21" s="5">
        <v>6.2201817673284303</v>
      </c>
      <c r="N21" s="6">
        <v>0.47230911254882801</v>
      </c>
      <c r="O21" s="8" t="b">
        <v>1</v>
      </c>
      <c r="P21" s="8" t="b">
        <v>0</v>
      </c>
      <c r="Q21" s="8" t="b">
        <v>1</v>
      </c>
      <c r="T21" s="6">
        <v>0.99522781372070301</v>
      </c>
      <c r="U21" s="6">
        <v>0.73147964477538996</v>
      </c>
      <c r="V21" s="6">
        <v>0.59937667846679599</v>
      </c>
      <c r="W21" s="6">
        <v>0.52303695678710904</v>
      </c>
      <c r="X21" s="6">
        <v>0.48699569702148399</v>
      </c>
      <c r="Y21" s="6">
        <v>0.38842391967773399</v>
      </c>
    </row>
    <row r="22" spans="2:25" x14ac:dyDescent="0.3">
      <c r="B22" s="12" t="s">
        <v>7</v>
      </c>
      <c r="C22" s="5">
        <v>1.4378790617617601</v>
      </c>
      <c r="D22" s="6">
        <v>0.52303695678710904</v>
      </c>
      <c r="E22" s="8" t="b">
        <v>0</v>
      </c>
      <c r="F22" s="8" t="b">
        <v>0</v>
      </c>
      <c r="G22" s="8" t="b">
        <v>0</v>
      </c>
      <c r="H22" s="5">
        <v>1.3854668770235601</v>
      </c>
      <c r="I22" s="6">
        <v>0.48699569702148399</v>
      </c>
      <c r="J22" s="8" t="b">
        <v>0</v>
      </c>
      <c r="K22" s="8" t="b">
        <v>0</v>
      </c>
      <c r="L22" s="8" t="b">
        <v>0</v>
      </c>
      <c r="M22" s="5">
        <v>1.4580973146399701</v>
      </c>
      <c r="N22" s="6">
        <v>0.38842391967773399</v>
      </c>
      <c r="O22" s="8" t="b">
        <v>0</v>
      </c>
      <c r="P22" s="8" t="b">
        <v>0</v>
      </c>
      <c r="Q22" s="8" t="b">
        <v>0</v>
      </c>
      <c r="T22" s="6">
        <v>1.1360969543457</v>
      </c>
      <c r="U22" s="6">
        <v>0.98382568359375</v>
      </c>
      <c r="V22" s="6">
        <v>1.03725814819335</v>
      </c>
      <c r="W22" s="6">
        <v>0.67889785766601496</v>
      </c>
      <c r="X22" s="6">
        <v>0.44518280029296797</v>
      </c>
      <c r="Y22" s="6">
        <v>0.24401473999023399</v>
      </c>
    </row>
    <row r="23" spans="2:25" x14ac:dyDescent="0.3">
      <c r="B23" s="12" t="s">
        <v>8</v>
      </c>
      <c r="C23" s="5">
        <v>2.4999857341683902</v>
      </c>
      <c r="D23" s="6">
        <v>0.67889785766601496</v>
      </c>
      <c r="E23" s="8" t="b">
        <v>0</v>
      </c>
      <c r="F23" s="8" t="b">
        <v>0</v>
      </c>
      <c r="G23" s="8" t="b">
        <v>0</v>
      </c>
      <c r="H23" s="5">
        <v>2.50962899928339</v>
      </c>
      <c r="I23" s="6">
        <v>0.44518280029296797</v>
      </c>
      <c r="J23" s="8" t="b">
        <v>0</v>
      </c>
      <c r="K23" s="8" t="b">
        <v>0</v>
      </c>
      <c r="L23" s="8" t="b">
        <v>0</v>
      </c>
      <c r="M23" s="5">
        <v>2.6338358318604498</v>
      </c>
      <c r="N23" s="6">
        <v>0.24401473999023399</v>
      </c>
      <c r="O23" s="8" t="b">
        <v>0</v>
      </c>
      <c r="P23" s="8" t="b">
        <v>0</v>
      </c>
      <c r="Q23" s="8" t="b">
        <v>0</v>
      </c>
      <c r="T23" s="6">
        <v>0.47125625610351501</v>
      </c>
      <c r="U23" s="6">
        <v>0.290802001953125</v>
      </c>
      <c r="V23" s="6">
        <v>0.61192321777343694</v>
      </c>
      <c r="W23" s="6">
        <v>0.90740585327148404</v>
      </c>
      <c r="X23" s="6">
        <v>0.70737075805663996</v>
      </c>
      <c r="Y23" s="6">
        <v>0.99581146240234297</v>
      </c>
    </row>
    <row r="24" spans="2:25" x14ac:dyDescent="0.3">
      <c r="B24" s="12" t="s">
        <v>9</v>
      </c>
      <c r="C24" s="5">
        <v>5.0445708758180103</v>
      </c>
      <c r="D24" s="6">
        <v>0.90740585327148404</v>
      </c>
      <c r="E24" s="8" t="b">
        <v>1</v>
      </c>
      <c r="F24" s="8" t="b">
        <v>0</v>
      </c>
      <c r="G24" s="8" t="b">
        <v>1</v>
      </c>
      <c r="H24" s="5">
        <v>5.26902868077494</v>
      </c>
      <c r="I24" s="6">
        <v>0.70737075805663996</v>
      </c>
      <c r="J24" s="8" t="b">
        <v>1</v>
      </c>
      <c r="K24" s="8" t="b">
        <v>0</v>
      </c>
      <c r="L24" s="8" t="b">
        <v>1</v>
      </c>
      <c r="M24" s="5">
        <v>4.9461015740754899</v>
      </c>
      <c r="N24" s="6">
        <v>0.99581146240234297</v>
      </c>
      <c r="O24" s="8" t="b">
        <v>1</v>
      </c>
      <c r="P24" s="8" t="b">
        <v>0</v>
      </c>
      <c r="Q24" s="8" t="b">
        <v>1</v>
      </c>
      <c r="T24" s="6">
        <v>3.8085289001464799</v>
      </c>
      <c r="U24" s="6">
        <v>3.4907264709472599</v>
      </c>
      <c r="V24" s="6">
        <v>3.8440628051757799</v>
      </c>
      <c r="W24" s="6">
        <v>0.35430145263671797</v>
      </c>
      <c r="X24" s="6">
        <v>0.417556762695312</v>
      </c>
      <c r="Y24" s="6">
        <v>0.59987640380859297</v>
      </c>
    </row>
    <row r="25" spans="2:25" x14ac:dyDescent="0.3">
      <c r="B25" s="12" t="s">
        <v>10</v>
      </c>
      <c r="C25" s="5">
        <v>3.1328385670638399</v>
      </c>
      <c r="D25" s="6">
        <v>0.35430145263671797</v>
      </c>
      <c r="E25" s="8" t="b">
        <v>1</v>
      </c>
      <c r="F25" s="8" t="b">
        <v>0</v>
      </c>
      <c r="G25" s="8" t="b">
        <v>1</v>
      </c>
      <c r="H25" s="5">
        <v>3.2202546627281801</v>
      </c>
      <c r="I25" s="6">
        <v>0.417556762695312</v>
      </c>
      <c r="J25" s="8" t="b">
        <v>1</v>
      </c>
      <c r="K25" s="8" t="b">
        <v>0</v>
      </c>
      <c r="L25" s="8" t="b">
        <v>1</v>
      </c>
      <c r="M25" s="5">
        <v>2.9466982320235098</v>
      </c>
      <c r="N25" s="6">
        <v>0.59987640380859297</v>
      </c>
      <c r="O25" s="8" t="b">
        <v>1</v>
      </c>
      <c r="P25" s="8" t="b">
        <v>0</v>
      </c>
      <c r="Q25" s="8" t="b">
        <v>1</v>
      </c>
      <c r="T25" s="6">
        <v>5.3327178955078098</v>
      </c>
      <c r="U25" s="6">
        <v>5.0071334838867099</v>
      </c>
      <c r="V25" s="6">
        <v>5.1851539611816397</v>
      </c>
      <c r="W25" s="6">
        <v>3.8718223571777299</v>
      </c>
      <c r="X25" s="6">
        <v>3.6882858276367099</v>
      </c>
      <c r="Y25" s="6">
        <v>3.83476257324218</v>
      </c>
    </row>
    <row r="26" spans="2:25" x14ac:dyDescent="0.3">
      <c r="B26" s="12" t="s">
        <v>11</v>
      </c>
      <c r="C26" s="5">
        <v>1.6968027130741801</v>
      </c>
      <c r="D26" s="6">
        <v>3.8718223571777299</v>
      </c>
      <c r="E26" s="8" t="b">
        <v>0</v>
      </c>
      <c r="F26" s="8" t="b">
        <v>1</v>
      </c>
      <c r="G26" s="8" t="b">
        <v>1</v>
      </c>
      <c r="H26" s="5">
        <v>1.69641011818717</v>
      </c>
      <c r="I26" s="6">
        <v>3.6882858276367099</v>
      </c>
      <c r="J26" s="8" t="b">
        <v>0</v>
      </c>
      <c r="K26" s="8" t="b">
        <v>1</v>
      </c>
      <c r="L26" s="8" t="b">
        <v>1</v>
      </c>
      <c r="M26" s="5">
        <v>1.6762979912373399</v>
      </c>
      <c r="N26" s="6">
        <v>3.83476257324218</v>
      </c>
      <c r="O26" s="8" t="b">
        <v>0</v>
      </c>
      <c r="P26" s="8" t="b">
        <v>1</v>
      </c>
      <c r="Q26" s="8" t="b">
        <v>1</v>
      </c>
      <c r="T26" s="6">
        <v>0.56644439697265603</v>
      </c>
      <c r="U26" s="6">
        <v>0.54853820800781194</v>
      </c>
      <c r="V26" s="6">
        <v>0.17962265014648399</v>
      </c>
      <c r="W26" s="6">
        <v>5.2936477661132804</v>
      </c>
      <c r="X26" s="6">
        <v>5.6909294128417898</v>
      </c>
      <c r="Y26" s="6">
        <v>5.0717124938964799</v>
      </c>
    </row>
    <row r="27" spans="2:25" x14ac:dyDescent="0.3">
      <c r="B27" s="12" t="s">
        <v>12</v>
      </c>
      <c r="C27" s="5">
        <v>1.92346429373739</v>
      </c>
      <c r="D27" s="6">
        <v>5.2936477661132804</v>
      </c>
      <c r="E27" s="8" t="b">
        <v>0</v>
      </c>
      <c r="F27" s="8" t="b">
        <v>1</v>
      </c>
      <c r="G27" s="8" t="b">
        <v>1</v>
      </c>
      <c r="H27" s="5">
        <v>1.82275920839663</v>
      </c>
      <c r="I27" s="6">
        <v>5.6909294128417898</v>
      </c>
      <c r="J27" s="8" t="b">
        <v>0</v>
      </c>
      <c r="K27" s="8" t="b">
        <v>1</v>
      </c>
      <c r="L27" s="8" t="b">
        <v>1</v>
      </c>
      <c r="M27" s="5">
        <v>1.8835680046957499</v>
      </c>
      <c r="N27" s="6">
        <v>5.0717124938964799</v>
      </c>
      <c r="O27" s="8" t="b">
        <v>0</v>
      </c>
      <c r="P27" s="8" t="b">
        <v>1</v>
      </c>
      <c r="Q27" s="8" t="b">
        <v>1</v>
      </c>
      <c r="T27" s="6">
        <v>0.48279571533203097</v>
      </c>
      <c r="U27" s="6">
        <v>0.83672332763671797</v>
      </c>
      <c r="V27" s="6">
        <v>5.6610107421875E-2</v>
      </c>
      <c r="W27" s="6">
        <v>0.59440612792968694</v>
      </c>
      <c r="X27" s="6">
        <v>0.24415969848632799</v>
      </c>
      <c r="Y27" s="6">
        <v>4.98504638671875E-2</v>
      </c>
    </row>
    <row r="28" spans="2:25" x14ac:dyDescent="0.3">
      <c r="B28" s="12" t="s">
        <v>13</v>
      </c>
      <c r="C28" s="5">
        <v>1.95635089847632</v>
      </c>
      <c r="D28" s="6">
        <v>0.59440612792968694</v>
      </c>
      <c r="E28" s="8" t="b">
        <v>0</v>
      </c>
      <c r="F28" s="8" t="b">
        <v>0</v>
      </c>
      <c r="G28" s="8" t="b">
        <v>0</v>
      </c>
      <c r="H28" s="5">
        <v>2.2494420490525302</v>
      </c>
      <c r="I28" s="6">
        <v>0.24415969848632799</v>
      </c>
      <c r="J28" s="8" t="b">
        <v>0</v>
      </c>
      <c r="K28" s="8" t="b">
        <v>0</v>
      </c>
      <c r="L28" s="8" t="b">
        <v>0</v>
      </c>
      <c r="M28" s="5">
        <v>2.0082607201853899</v>
      </c>
      <c r="N28" s="6">
        <v>4.98504638671875E-2</v>
      </c>
      <c r="O28" s="8" t="b">
        <v>0</v>
      </c>
      <c r="P28" s="8" t="b">
        <v>0</v>
      </c>
      <c r="Q28" s="8" t="b">
        <v>0</v>
      </c>
      <c r="T28" s="6">
        <v>12.0164222717285</v>
      </c>
      <c r="U28" s="6">
        <v>12.0490417480468</v>
      </c>
      <c r="V28" s="6">
        <v>11.892494201660099</v>
      </c>
      <c r="W28" s="6">
        <v>0.69040679931640603</v>
      </c>
      <c r="X28" s="6">
        <v>0.48696517944335899</v>
      </c>
      <c r="Y28" s="6">
        <v>0.50443267822265603</v>
      </c>
    </row>
    <row r="29" spans="2:25" x14ac:dyDescent="0.3">
      <c r="B29" s="12" t="s">
        <v>14</v>
      </c>
      <c r="C29" s="5">
        <v>1.5959264412037399</v>
      </c>
      <c r="D29" s="6">
        <v>0.69040679931640603</v>
      </c>
      <c r="E29" s="8" t="b">
        <v>0</v>
      </c>
      <c r="F29" s="8" t="b">
        <v>0</v>
      </c>
      <c r="G29" s="8" t="b">
        <v>0</v>
      </c>
      <c r="H29" s="5">
        <v>1.59907634285292</v>
      </c>
      <c r="I29" s="6">
        <v>0.48696517944335899</v>
      </c>
      <c r="J29" s="8" t="b">
        <v>0</v>
      </c>
      <c r="K29" s="8" t="b">
        <v>0</v>
      </c>
      <c r="L29" s="8" t="b">
        <v>0</v>
      </c>
      <c r="M29" s="5">
        <v>1.51156618293247</v>
      </c>
      <c r="N29" s="6">
        <v>0.50443267822265603</v>
      </c>
      <c r="O29" s="8" t="b">
        <v>0</v>
      </c>
      <c r="P29" s="8" t="b">
        <v>0</v>
      </c>
      <c r="Q29" s="8" t="b">
        <v>0</v>
      </c>
      <c r="T29" s="10">
        <v>4.1520500183105398</v>
      </c>
      <c r="U29" s="10">
        <v>3.1387519836425701</v>
      </c>
      <c r="V29" s="10">
        <v>4.0176620483398402</v>
      </c>
      <c r="W29" s="6">
        <v>11.8977966308593</v>
      </c>
      <c r="X29" s="6">
        <v>12.264076232910099</v>
      </c>
      <c r="Y29" s="6">
        <v>12.1287727355957</v>
      </c>
    </row>
    <row r="30" spans="2:25" x14ac:dyDescent="0.3">
      <c r="B30" s="12" t="s">
        <v>15</v>
      </c>
      <c r="C30" s="5">
        <v>2.06490873847414</v>
      </c>
      <c r="D30" s="6">
        <v>11.8977966308593</v>
      </c>
      <c r="E30" s="8" t="b">
        <v>0</v>
      </c>
      <c r="F30" s="8" t="b">
        <v>1</v>
      </c>
      <c r="G30" s="8" t="b">
        <v>1</v>
      </c>
      <c r="H30" s="5">
        <v>2.0799663992655399</v>
      </c>
      <c r="I30" s="6">
        <v>12.264076232910099</v>
      </c>
      <c r="J30" s="8" t="b">
        <v>0</v>
      </c>
      <c r="K30" s="8" t="b">
        <v>1</v>
      </c>
      <c r="L30" s="8" t="b">
        <v>1</v>
      </c>
      <c r="M30" s="5">
        <v>2.0963880953373701</v>
      </c>
      <c r="N30" s="6">
        <v>12.1287727355957</v>
      </c>
      <c r="O30" s="8" t="b">
        <v>0</v>
      </c>
      <c r="P30" s="8" t="b">
        <v>1</v>
      </c>
      <c r="Q30" s="8" t="b">
        <v>1</v>
      </c>
      <c r="W30" s="10">
        <v>4.2555809020995996</v>
      </c>
      <c r="X30" s="10">
        <v>4.1865501403808496</v>
      </c>
      <c r="Y30" s="10">
        <v>3.8322906494140598</v>
      </c>
    </row>
    <row r="31" spans="2:25" x14ac:dyDescent="0.3">
      <c r="B31" s="13" t="s">
        <v>16</v>
      </c>
      <c r="C31" s="9">
        <v>2.6562234390408501</v>
      </c>
      <c r="D31" s="10">
        <v>4.2555809020995996</v>
      </c>
      <c r="E31" s="11" t="b">
        <v>0</v>
      </c>
      <c r="F31" s="11" t="b">
        <v>1</v>
      </c>
      <c r="G31" s="11" t="b">
        <v>1</v>
      </c>
      <c r="H31" s="9">
        <v>2.7592633097188699</v>
      </c>
      <c r="I31" s="10">
        <v>4.1865501403808496</v>
      </c>
      <c r="J31" s="11" t="b">
        <v>0</v>
      </c>
      <c r="K31" s="11" t="b">
        <v>1</v>
      </c>
      <c r="L31" s="11" t="b">
        <v>1</v>
      </c>
      <c r="M31" s="9">
        <v>2.8609600794506802</v>
      </c>
      <c r="N31" s="10">
        <v>3.8322906494140598</v>
      </c>
      <c r="O31" s="11" t="b">
        <v>1</v>
      </c>
      <c r="P31" s="11" t="b">
        <v>1</v>
      </c>
      <c r="Q31" s="11" t="b">
        <v>1</v>
      </c>
    </row>
    <row r="35" spans="2:10" x14ac:dyDescent="0.3">
      <c r="B35" s="24" t="s">
        <v>17</v>
      </c>
      <c r="C35" s="25"/>
      <c r="D35" s="25"/>
      <c r="E35" s="25"/>
      <c r="F35" s="25"/>
      <c r="G35" s="26"/>
    </row>
    <row r="36" spans="2:10" x14ac:dyDescent="0.3">
      <c r="B36" s="2" t="s">
        <v>0</v>
      </c>
      <c r="C36" s="4" t="s">
        <v>1</v>
      </c>
      <c r="D36" s="3" t="s">
        <v>26</v>
      </c>
      <c r="E36" s="4" t="s">
        <v>2</v>
      </c>
      <c r="F36" s="3" t="s">
        <v>3</v>
      </c>
      <c r="G36" s="4" t="s">
        <v>4</v>
      </c>
    </row>
    <row r="37" spans="2:10" x14ac:dyDescent="0.3">
      <c r="B37" s="12" t="s">
        <v>18</v>
      </c>
      <c r="C37" s="5">
        <v>2.8586820070451302</v>
      </c>
      <c r="D37" s="6">
        <v>0.46789169311523399</v>
      </c>
      <c r="E37" s="7" t="b">
        <v>1</v>
      </c>
      <c r="F37" s="7" t="b">
        <v>0</v>
      </c>
      <c r="G37" s="7" t="b">
        <v>1</v>
      </c>
    </row>
    <row r="38" spans="2:10" x14ac:dyDescent="0.3">
      <c r="B38" s="12" t="s">
        <v>19</v>
      </c>
      <c r="C38" s="5">
        <v>4.4670374799057297</v>
      </c>
      <c r="D38" s="6">
        <v>9.9536895751953097E-2</v>
      </c>
      <c r="E38" s="8" t="b">
        <v>1</v>
      </c>
      <c r="F38" s="8" t="b">
        <v>0</v>
      </c>
      <c r="G38" s="8" t="b">
        <v>1</v>
      </c>
      <c r="J38" t="s">
        <v>27</v>
      </c>
    </row>
    <row r="39" spans="2:10" x14ac:dyDescent="0.3">
      <c r="B39" s="12" t="s">
        <v>6</v>
      </c>
      <c r="C39" s="5">
        <v>7.8176764588627199</v>
      </c>
      <c r="D39" s="6">
        <v>1.1359672546386701</v>
      </c>
      <c r="E39" s="8" t="b">
        <v>1</v>
      </c>
      <c r="F39" s="8" t="b">
        <v>0</v>
      </c>
      <c r="G39" s="8" t="b">
        <v>1</v>
      </c>
    </row>
    <row r="40" spans="2:10" x14ac:dyDescent="0.3">
      <c r="B40" s="12" t="s">
        <v>7</v>
      </c>
      <c r="C40" s="5">
        <v>2.7183759229346598</v>
      </c>
      <c r="D40" s="6">
        <v>0.88345718383788996</v>
      </c>
      <c r="E40" s="8" t="b">
        <v>0</v>
      </c>
      <c r="F40" s="8" t="b">
        <v>0</v>
      </c>
      <c r="G40" s="8" t="b">
        <v>0</v>
      </c>
    </row>
    <row r="41" spans="2:10" x14ac:dyDescent="0.3">
      <c r="B41" s="12" t="s">
        <v>20</v>
      </c>
      <c r="C41" s="5">
        <v>6.55419999399719</v>
      </c>
      <c r="D41" s="6">
        <v>0.796783447265625</v>
      </c>
      <c r="E41" s="8" t="b">
        <v>1</v>
      </c>
      <c r="F41" s="8" t="b">
        <v>0</v>
      </c>
      <c r="G41" s="8" t="b">
        <v>1</v>
      </c>
    </row>
    <row r="42" spans="2:10" x14ac:dyDescent="0.3">
      <c r="B42" s="12" t="s">
        <v>21</v>
      </c>
      <c r="C42" s="5">
        <v>4.5023641290572503</v>
      </c>
      <c r="D42" s="6">
        <v>0.97106170654296797</v>
      </c>
      <c r="E42" s="8" t="b">
        <v>1</v>
      </c>
      <c r="F42" s="8" t="b">
        <v>0</v>
      </c>
      <c r="G42" s="8" t="b">
        <v>1</v>
      </c>
    </row>
    <row r="43" spans="2:10" x14ac:dyDescent="0.3">
      <c r="B43" s="12" t="s">
        <v>8</v>
      </c>
      <c r="C43" s="5">
        <v>4.1756185896487601</v>
      </c>
      <c r="D43" s="6">
        <v>0.53696441650390603</v>
      </c>
      <c r="E43" s="8" t="b">
        <v>1</v>
      </c>
      <c r="F43" s="8" t="b">
        <v>0</v>
      </c>
      <c r="G43" s="8" t="b">
        <v>1</v>
      </c>
    </row>
    <row r="44" spans="2:10" x14ac:dyDescent="0.3">
      <c r="B44" s="12" t="s">
        <v>22</v>
      </c>
      <c r="C44" s="5">
        <v>4.0922322701454803</v>
      </c>
      <c r="D44" s="6">
        <v>14.168098449706999</v>
      </c>
      <c r="E44" s="8" t="b">
        <v>1</v>
      </c>
      <c r="F44" s="8" t="b">
        <v>1</v>
      </c>
      <c r="G44" s="8" t="b">
        <v>1</v>
      </c>
    </row>
    <row r="45" spans="2:10" x14ac:dyDescent="0.3">
      <c r="B45" s="12" t="s">
        <v>23</v>
      </c>
      <c r="C45" s="5">
        <v>2.9615201772478699</v>
      </c>
      <c r="D45" s="6">
        <v>4.7744255065917898</v>
      </c>
      <c r="E45" s="8" t="b">
        <v>1</v>
      </c>
      <c r="F45" s="8" t="b">
        <v>1</v>
      </c>
      <c r="G45" s="8" t="b">
        <v>1</v>
      </c>
    </row>
    <row r="46" spans="2:10" x14ac:dyDescent="0.3">
      <c r="B46" s="12" t="s">
        <v>9</v>
      </c>
      <c r="C46" s="5">
        <v>3.9547032987089699</v>
      </c>
      <c r="D46" s="6">
        <v>7.2260208129882804</v>
      </c>
      <c r="E46" s="8" t="b">
        <v>1</v>
      </c>
      <c r="F46" s="8" t="b">
        <v>1</v>
      </c>
      <c r="G46" s="8" t="b">
        <v>1</v>
      </c>
    </row>
    <row r="47" spans="2:10" x14ac:dyDescent="0.3">
      <c r="B47" s="12" t="s">
        <v>24</v>
      </c>
      <c r="C47" s="5">
        <v>3.5394233690408399</v>
      </c>
      <c r="D47" s="6">
        <v>0.76793289184570301</v>
      </c>
      <c r="E47" s="8" t="b">
        <v>1</v>
      </c>
      <c r="F47" s="8" t="b">
        <v>0</v>
      </c>
      <c r="G47" s="8" t="b">
        <v>1</v>
      </c>
    </row>
    <row r="48" spans="2:10" x14ac:dyDescent="0.3">
      <c r="B48" s="12" t="s">
        <v>10</v>
      </c>
      <c r="C48" s="5">
        <v>3.6748485691456501</v>
      </c>
      <c r="D48" s="6">
        <v>0.91352462768554599</v>
      </c>
      <c r="E48" s="8" t="b">
        <v>1</v>
      </c>
      <c r="F48" s="8" t="b">
        <v>0</v>
      </c>
      <c r="G48" s="8" t="b">
        <v>1</v>
      </c>
    </row>
    <row r="49" spans="2:7" x14ac:dyDescent="0.3">
      <c r="B49" s="12" t="s">
        <v>11</v>
      </c>
      <c r="C49" s="5">
        <v>7.5154728262879198</v>
      </c>
      <c r="D49" s="6">
        <v>0.96739959716796797</v>
      </c>
      <c r="E49" s="8" t="b">
        <v>1</v>
      </c>
      <c r="F49" s="8" t="b">
        <v>0</v>
      </c>
      <c r="G49" s="8" t="b">
        <v>1</v>
      </c>
    </row>
    <row r="50" spans="2:7" x14ac:dyDescent="0.3">
      <c r="B50" s="13" t="s">
        <v>25</v>
      </c>
      <c r="C50" s="9">
        <v>2.7444469282207602</v>
      </c>
      <c r="D50" s="10">
        <v>13.499168395996</v>
      </c>
      <c r="E50" s="11" t="b">
        <v>0</v>
      </c>
      <c r="F50" s="11" t="b">
        <v>1</v>
      </c>
      <c r="G50" s="11" t="b">
        <v>1</v>
      </c>
    </row>
  </sheetData>
  <mergeCells count="7">
    <mergeCell ref="B35:G35"/>
    <mergeCell ref="M2:Q2"/>
    <mergeCell ref="H2:L2"/>
    <mergeCell ref="B2:G2"/>
    <mergeCell ref="H18:L18"/>
    <mergeCell ref="M18:Q18"/>
    <mergeCell ref="C18:G18"/>
  </mergeCells>
  <conditionalFormatting sqref="E4:G14">
    <cfRule type="cellIs" dxfId="39" priority="15" operator="equal">
      <formula>TRUE</formula>
    </cfRule>
    <cfRule type="cellIs" dxfId="38" priority="16" operator="equal">
      <formula>FALSE</formula>
    </cfRule>
  </conditionalFormatting>
  <conditionalFormatting sqref="E20:G31">
    <cfRule type="cellIs" dxfId="37" priority="9" operator="equal">
      <formula>TRUE</formula>
    </cfRule>
    <cfRule type="cellIs" dxfId="36" priority="10" operator="equal">
      <formula>FALSE</formula>
    </cfRule>
  </conditionalFormatting>
  <conditionalFormatting sqref="E37:G50">
    <cfRule type="cellIs" dxfId="35" priority="1" operator="equal">
      <formula>TRUE</formula>
    </cfRule>
    <cfRule type="cellIs" dxfId="34" priority="2" operator="equal">
      <formula>FALSE</formula>
    </cfRule>
  </conditionalFormatting>
  <conditionalFormatting sqref="J4:L14">
    <cfRule type="cellIs" dxfId="33" priority="13" operator="equal">
      <formula>TRUE</formula>
    </cfRule>
    <cfRule type="cellIs" dxfId="32" priority="14" operator="equal">
      <formula>FALSE</formula>
    </cfRule>
  </conditionalFormatting>
  <conditionalFormatting sqref="J20:L31">
    <cfRule type="cellIs" dxfId="31" priority="7" operator="equal">
      <formula>TRUE</formula>
    </cfRule>
    <cfRule type="cellIs" dxfId="30" priority="8" operator="equal">
      <formula>FALSE</formula>
    </cfRule>
  </conditionalFormatting>
  <conditionalFormatting sqref="O4:Q14">
    <cfRule type="cellIs" dxfId="29" priority="11" operator="equal">
      <formula>TRUE</formula>
    </cfRule>
    <cfRule type="cellIs" dxfId="28" priority="12" operator="equal">
      <formula>FALSE</formula>
    </cfRule>
  </conditionalFormatting>
  <conditionalFormatting sqref="O20:Q31">
    <cfRule type="cellIs" dxfId="27" priority="5" operator="equal">
      <formula>TRUE</formula>
    </cfRule>
    <cfRule type="cellIs" dxfId="26" priority="6" operator="equal">
      <formula>FALSE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C2D2-165E-42E7-AB48-D748420B6CC5}">
  <dimension ref="B2:AE50"/>
  <sheetViews>
    <sheetView zoomScale="93" workbookViewId="0">
      <selection activeCell="C50" sqref="C50"/>
    </sheetView>
  </sheetViews>
  <sheetFormatPr defaultColWidth="8.77734375" defaultRowHeight="14.4" x14ac:dyDescent="0.3"/>
  <sheetData>
    <row r="2" spans="2:31" x14ac:dyDescent="0.3">
      <c r="B2" s="24" t="s">
        <v>28</v>
      </c>
      <c r="C2" s="25"/>
      <c r="D2" s="25"/>
      <c r="E2" s="25"/>
      <c r="F2" s="25"/>
      <c r="G2" s="26"/>
      <c r="H2" s="25" t="s">
        <v>29</v>
      </c>
      <c r="I2" s="25"/>
      <c r="J2" s="25"/>
      <c r="K2" s="25"/>
      <c r="L2" s="26"/>
      <c r="M2" s="25" t="s">
        <v>30</v>
      </c>
      <c r="N2" s="25"/>
      <c r="O2" s="25"/>
      <c r="P2" s="25"/>
      <c r="Q2" s="26"/>
    </row>
    <row r="3" spans="2:31" x14ac:dyDescent="0.3">
      <c r="B3" s="2" t="s">
        <v>0</v>
      </c>
      <c r="C3" s="4" t="s">
        <v>1</v>
      </c>
      <c r="D3" s="3" t="s">
        <v>26</v>
      </c>
      <c r="E3" s="4" t="s">
        <v>2</v>
      </c>
      <c r="F3" s="3" t="s">
        <v>3</v>
      </c>
      <c r="G3" s="4" t="s">
        <v>4</v>
      </c>
      <c r="H3" s="4" t="s">
        <v>1</v>
      </c>
      <c r="I3" s="3" t="s">
        <v>26</v>
      </c>
      <c r="J3" s="4" t="s">
        <v>2</v>
      </c>
      <c r="K3" s="3" t="s">
        <v>3</v>
      </c>
      <c r="L3" s="4" t="s">
        <v>4</v>
      </c>
      <c r="M3" s="4" t="s">
        <v>1</v>
      </c>
      <c r="N3" s="3" t="s">
        <v>26</v>
      </c>
      <c r="O3" s="4" t="s">
        <v>2</v>
      </c>
      <c r="P3" s="3" t="s">
        <v>3</v>
      </c>
      <c r="Q3" s="4" t="s">
        <v>4</v>
      </c>
      <c r="S3" s="27" t="s">
        <v>5</v>
      </c>
    </row>
    <row r="4" spans="2:31" x14ac:dyDescent="0.3">
      <c r="B4" s="12" t="s">
        <v>6</v>
      </c>
      <c r="C4" s="5">
        <v>5.72563316581547</v>
      </c>
      <c r="D4" s="6">
        <v>0.37480926513671797</v>
      </c>
      <c r="E4" s="7" t="b">
        <f>IF(C4&lt;1.5,FALSE,TRUE)</f>
        <v>1</v>
      </c>
      <c r="F4" s="7" t="b">
        <f>IF(D4&lt;1.2,FALSE,TRUE)</f>
        <v>0</v>
      </c>
      <c r="G4" s="7" t="b">
        <f>OR(E4,F4)</f>
        <v>1</v>
      </c>
      <c r="H4" s="5">
        <v>5.9395085286211096</v>
      </c>
      <c r="I4" s="6">
        <v>0.42583847045898399</v>
      </c>
      <c r="J4" s="7" t="b">
        <f>IF(H4&lt;1.5,FALSE,TRUE)</f>
        <v>1</v>
      </c>
      <c r="K4" s="7" t="b">
        <f>IF(I4&lt;1.2,FALSE,TRUE)</f>
        <v>0</v>
      </c>
      <c r="L4" s="7" t="b">
        <f>OR(J4,K4)</f>
        <v>1</v>
      </c>
      <c r="M4" s="5">
        <v>5.5038115642197898</v>
      </c>
      <c r="N4" s="6">
        <v>0.50401687622070301</v>
      </c>
      <c r="O4" s="7" t="b">
        <f>IF(M4&lt;1.5,FALSE,TRUE)</f>
        <v>1</v>
      </c>
      <c r="P4" s="7" t="b">
        <f>IF(N4&lt;1.2,FALSE,TRUE)</f>
        <v>0</v>
      </c>
      <c r="Q4" s="7" t="b">
        <f>OR(O4,P4)</f>
        <v>1</v>
      </c>
      <c r="S4" s="12" t="s">
        <v>6</v>
      </c>
      <c r="AE4" s="15"/>
    </row>
    <row r="5" spans="2:31" x14ac:dyDescent="0.3">
      <c r="B5" s="12" t="s">
        <v>7</v>
      </c>
      <c r="C5" s="5">
        <v>1.74568302366456</v>
      </c>
      <c r="D5" s="6">
        <v>2.3433685302734299E-2</v>
      </c>
      <c r="E5" s="8" t="b">
        <f t="shared" ref="E5:E14" si="0">IF(C5&lt;1.5,FALSE,TRUE)</f>
        <v>1</v>
      </c>
      <c r="F5" s="8" t="b">
        <f t="shared" ref="F5:F14" si="1">IF(D5&lt;1.2,FALSE,TRUE)</f>
        <v>0</v>
      </c>
      <c r="G5" s="8" t="b">
        <f t="shared" ref="G5:G14" si="2">OR(E5,F5)</f>
        <v>1</v>
      </c>
      <c r="H5" s="5">
        <v>1.5932968625953901</v>
      </c>
      <c r="I5" s="6">
        <v>0.37971878051757801</v>
      </c>
      <c r="J5" s="8" t="b">
        <f t="shared" ref="J5:J14" si="3">IF(H5&lt;1.5,FALSE,TRUE)</f>
        <v>1</v>
      </c>
      <c r="K5" s="8" t="b">
        <f t="shared" ref="K5:K14" si="4">IF(I5&lt;1.2,FALSE,TRUE)</f>
        <v>0</v>
      </c>
      <c r="L5" s="8" t="b">
        <f t="shared" ref="L5:L14" si="5">OR(J5,K5)</f>
        <v>1</v>
      </c>
      <c r="M5" s="5">
        <v>1.50656892534314</v>
      </c>
      <c r="N5" s="6">
        <v>0.69505691528320301</v>
      </c>
      <c r="O5" s="8" t="b">
        <f t="shared" ref="O5:O14" si="6">IF(M5&lt;1.5,FALSE,TRUE)</f>
        <v>1</v>
      </c>
      <c r="P5" s="8" t="b">
        <f t="shared" ref="P5:P14" si="7">IF(N5&lt;1.2,FALSE,TRUE)</f>
        <v>0</v>
      </c>
      <c r="Q5" s="8" t="b">
        <f t="shared" ref="Q5:Q14" si="8">OR(O5,P5)</f>
        <v>1</v>
      </c>
      <c r="S5" s="12" t="s">
        <v>7</v>
      </c>
      <c r="T5" s="15" t="s">
        <v>47</v>
      </c>
    </row>
    <row r="6" spans="2:31" x14ac:dyDescent="0.3">
      <c r="B6" s="12" t="s">
        <v>8</v>
      </c>
      <c r="C6" s="5">
        <v>2.62170023782567</v>
      </c>
      <c r="D6" s="6">
        <v>0.99522781372070301</v>
      </c>
      <c r="E6" s="8" t="b">
        <f t="shared" si="0"/>
        <v>1</v>
      </c>
      <c r="F6" s="8" t="b">
        <f t="shared" si="1"/>
        <v>0</v>
      </c>
      <c r="G6" s="8" t="b">
        <f t="shared" si="2"/>
        <v>1</v>
      </c>
      <c r="H6" s="5">
        <v>2.7117729396116599</v>
      </c>
      <c r="I6" s="6">
        <v>0.73147964477538996</v>
      </c>
      <c r="J6" s="8" t="b">
        <f t="shared" si="3"/>
        <v>1</v>
      </c>
      <c r="K6" s="8" t="b">
        <f t="shared" si="4"/>
        <v>0</v>
      </c>
      <c r="L6" s="8" t="b">
        <f t="shared" si="5"/>
        <v>1</v>
      </c>
      <c r="M6" s="5">
        <v>2.6556314832825998</v>
      </c>
      <c r="N6" s="6">
        <v>0.59937667846679599</v>
      </c>
      <c r="O6" s="8" t="b">
        <f t="shared" si="6"/>
        <v>1</v>
      </c>
      <c r="P6" s="8" t="b">
        <f t="shared" si="7"/>
        <v>0</v>
      </c>
      <c r="Q6" s="8" t="b">
        <f t="shared" si="8"/>
        <v>1</v>
      </c>
      <c r="S6" s="12" t="s">
        <v>8</v>
      </c>
    </row>
    <row r="7" spans="2:31" x14ac:dyDescent="0.3">
      <c r="B7" s="12" t="s">
        <v>9</v>
      </c>
      <c r="C7" s="5">
        <v>5.2340417403664796</v>
      </c>
      <c r="D7" s="6">
        <v>1.1360969543457</v>
      </c>
      <c r="E7" s="8" t="b">
        <f t="shared" si="0"/>
        <v>1</v>
      </c>
      <c r="F7" s="8" t="b">
        <f t="shared" si="1"/>
        <v>0</v>
      </c>
      <c r="G7" s="8" t="b">
        <f t="shared" si="2"/>
        <v>1</v>
      </c>
      <c r="H7" s="5">
        <v>4.9628365722071299</v>
      </c>
      <c r="I7" s="6">
        <v>0.98382568359375</v>
      </c>
      <c r="J7" s="8" t="b">
        <f t="shared" si="3"/>
        <v>1</v>
      </c>
      <c r="K7" s="8" t="b">
        <f t="shared" si="4"/>
        <v>0</v>
      </c>
      <c r="L7" s="8" t="b">
        <f t="shared" si="5"/>
        <v>1</v>
      </c>
      <c r="M7" s="5">
        <v>5.0097961684732999</v>
      </c>
      <c r="N7" s="6">
        <v>1.03725814819335</v>
      </c>
      <c r="O7" s="8" t="b">
        <f t="shared" si="6"/>
        <v>1</v>
      </c>
      <c r="P7" s="8" t="b">
        <f t="shared" si="7"/>
        <v>0</v>
      </c>
      <c r="Q7" s="8" t="b">
        <f t="shared" si="8"/>
        <v>1</v>
      </c>
      <c r="S7" s="12" t="s">
        <v>9</v>
      </c>
    </row>
    <row r="8" spans="2:31" x14ac:dyDescent="0.3">
      <c r="B8" s="12" t="s">
        <v>10</v>
      </c>
      <c r="C8" s="5">
        <v>3.32240483683348</v>
      </c>
      <c r="D8" s="6">
        <v>0.47125625610351501</v>
      </c>
      <c r="E8" s="8" t="b">
        <f t="shared" si="0"/>
        <v>1</v>
      </c>
      <c r="F8" s="8" t="b">
        <f t="shared" si="1"/>
        <v>0</v>
      </c>
      <c r="G8" s="8" t="b">
        <f t="shared" si="2"/>
        <v>1</v>
      </c>
      <c r="H8" s="5">
        <v>2.5892637785000501</v>
      </c>
      <c r="I8" s="6">
        <v>0.290802001953125</v>
      </c>
      <c r="J8" s="8" t="b">
        <f t="shared" si="3"/>
        <v>1</v>
      </c>
      <c r="K8" s="8" t="b">
        <f t="shared" si="4"/>
        <v>0</v>
      </c>
      <c r="L8" s="8" t="b">
        <f t="shared" si="5"/>
        <v>1</v>
      </c>
      <c r="M8" s="5">
        <v>3.1604014569358898</v>
      </c>
      <c r="N8" s="6">
        <v>0.61192321777343694</v>
      </c>
      <c r="O8" s="8" t="b">
        <f t="shared" si="6"/>
        <v>1</v>
      </c>
      <c r="P8" s="8" t="b">
        <f t="shared" si="7"/>
        <v>0</v>
      </c>
      <c r="Q8" s="8" t="b">
        <f t="shared" si="8"/>
        <v>1</v>
      </c>
      <c r="S8" s="12" t="s">
        <v>10</v>
      </c>
    </row>
    <row r="9" spans="2:31" x14ac:dyDescent="0.3">
      <c r="B9" s="12" t="s">
        <v>11</v>
      </c>
      <c r="C9" s="5">
        <v>1.59958126641329</v>
      </c>
      <c r="D9" s="6">
        <v>3.8085289001464799</v>
      </c>
      <c r="E9" s="8" t="b">
        <f t="shared" si="0"/>
        <v>1</v>
      </c>
      <c r="F9" s="8" t="b">
        <f t="shared" si="1"/>
        <v>1</v>
      </c>
      <c r="G9" s="8" t="b">
        <f t="shared" si="2"/>
        <v>1</v>
      </c>
      <c r="H9" s="5">
        <v>1.71520118083041</v>
      </c>
      <c r="I9" s="6">
        <v>3.4907264709472599</v>
      </c>
      <c r="J9" s="8" t="b">
        <f t="shared" si="3"/>
        <v>1</v>
      </c>
      <c r="K9" s="8" t="b">
        <f t="shared" si="4"/>
        <v>1</v>
      </c>
      <c r="L9" s="8" t="b">
        <f t="shared" si="5"/>
        <v>1</v>
      </c>
      <c r="M9" s="5">
        <v>1.7283553847119899</v>
      </c>
      <c r="N9" s="6">
        <v>3.8440628051757799</v>
      </c>
      <c r="O9" s="8" t="b">
        <f t="shared" si="6"/>
        <v>1</v>
      </c>
      <c r="P9" s="8" t="b">
        <f t="shared" si="7"/>
        <v>1</v>
      </c>
      <c r="Q9" s="8" t="b">
        <f t="shared" si="8"/>
        <v>1</v>
      </c>
      <c r="S9" s="12" t="s">
        <v>11</v>
      </c>
    </row>
    <row r="10" spans="2:31" x14ac:dyDescent="0.3">
      <c r="B10" s="12" t="s">
        <v>12</v>
      </c>
      <c r="C10" s="5">
        <v>1.6667398342195601</v>
      </c>
      <c r="D10" s="6">
        <v>5.3327178955078098</v>
      </c>
      <c r="E10" s="8" t="b">
        <f t="shared" si="0"/>
        <v>1</v>
      </c>
      <c r="F10" s="8" t="b">
        <f t="shared" si="1"/>
        <v>1</v>
      </c>
      <c r="G10" s="8" t="b">
        <f t="shared" si="2"/>
        <v>1</v>
      </c>
      <c r="H10" s="5">
        <v>1.69034157838304</v>
      </c>
      <c r="I10" s="6">
        <v>5.0071334838867099</v>
      </c>
      <c r="J10" s="8" t="b">
        <f t="shared" si="3"/>
        <v>1</v>
      </c>
      <c r="K10" s="8" t="b">
        <f t="shared" si="4"/>
        <v>1</v>
      </c>
      <c r="L10" s="8" t="b">
        <f t="shared" si="5"/>
        <v>1</v>
      </c>
      <c r="M10" s="5">
        <v>1.6541846648982901</v>
      </c>
      <c r="N10" s="6">
        <v>5.1851539611816397</v>
      </c>
      <c r="O10" s="8" t="b">
        <f t="shared" si="6"/>
        <v>1</v>
      </c>
      <c r="P10" s="8" t="b">
        <f t="shared" si="7"/>
        <v>1</v>
      </c>
      <c r="Q10" s="8" t="b">
        <f t="shared" si="8"/>
        <v>1</v>
      </c>
      <c r="S10" s="12" t="s">
        <v>12</v>
      </c>
    </row>
    <row r="11" spans="2:31" x14ac:dyDescent="0.3">
      <c r="B11" s="12" t="s">
        <v>13</v>
      </c>
      <c r="C11" s="5">
        <v>2.0649701575650599</v>
      </c>
      <c r="D11" s="6">
        <v>0.56644439697265603</v>
      </c>
      <c r="E11" s="8" t="b">
        <f t="shared" si="0"/>
        <v>1</v>
      </c>
      <c r="F11" s="8" t="b">
        <f t="shared" si="1"/>
        <v>0</v>
      </c>
      <c r="G11" s="8" t="b">
        <f t="shared" si="2"/>
        <v>1</v>
      </c>
      <c r="H11" s="5">
        <v>2.0059853464587301</v>
      </c>
      <c r="I11" s="6">
        <v>0.54853820800781194</v>
      </c>
      <c r="J11" s="8" t="b">
        <f t="shared" si="3"/>
        <v>1</v>
      </c>
      <c r="K11" s="8" t="b">
        <f t="shared" si="4"/>
        <v>0</v>
      </c>
      <c r="L11" s="8" t="b">
        <f t="shared" si="5"/>
        <v>1</v>
      </c>
      <c r="M11" s="5">
        <v>2.1799566969462001</v>
      </c>
      <c r="N11" s="6">
        <v>0.17962265014648399</v>
      </c>
      <c r="O11" s="8" t="b">
        <f t="shared" si="6"/>
        <v>1</v>
      </c>
      <c r="P11" s="8" t="b">
        <f t="shared" si="7"/>
        <v>0</v>
      </c>
      <c r="Q11" s="8" t="b">
        <f t="shared" si="8"/>
        <v>1</v>
      </c>
      <c r="S11" s="12" t="s">
        <v>13</v>
      </c>
    </row>
    <row r="12" spans="2:31" x14ac:dyDescent="0.3">
      <c r="B12" s="12" t="s">
        <v>14</v>
      </c>
      <c r="C12" s="5">
        <v>1.5618885220416701</v>
      </c>
      <c r="D12" s="6">
        <v>0.48279571533203097</v>
      </c>
      <c r="E12" s="8" t="b">
        <f t="shared" si="0"/>
        <v>1</v>
      </c>
      <c r="F12" s="8" t="b">
        <f t="shared" si="1"/>
        <v>0</v>
      </c>
      <c r="G12" s="8" t="b">
        <f t="shared" si="2"/>
        <v>1</v>
      </c>
      <c r="H12" s="5">
        <v>1.8369872442239501</v>
      </c>
      <c r="I12" s="6">
        <v>0.83672332763671797</v>
      </c>
      <c r="J12" s="8" t="b">
        <f t="shared" si="3"/>
        <v>1</v>
      </c>
      <c r="K12" s="8" t="b">
        <f t="shared" si="4"/>
        <v>0</v>
      </c>
      <c r="L12" s="8" t="b">
        <f t="shared" si="5"/>
        <v>1</v>
      </c>
      <c r="M12" s="5">
        <v>1.5624486530661901</v>
      </c>
      <c r="N12" s="6">
        <v>5.6610107421875E-2</v>
      </c>
      <c r="O12" s="8" t="b">
        <f t="shared" si="6"/>
        <v>1</v>
      </c>
      <c r="P12" s="8" t="b">
        <f t="shared" si="7"/>
        <v>0</v>
      </c>
      <c r="Q12" s="8" t="b">
        <f t="shared" si="8"/>
        <v>1</v>
      </c>
      <c r="S12" s="12" t="s">
        <v>14</v>
      </c>
    </row>
    <row r="13" spans="2:31" x14ac:dyDescent="0.3">
      <c r="B13" s="12" t="s">
        <v>15</v>
      </c>
      <c r="C13" s="5">
        <v>2.1244220105687299</v>
      </c>
      <c r="D13" s="6">
        <v>12.0164222717285</v>
      </c>
      <c r="E13" s="8" t="b">
        <f t="shared" si="0"/>
        <v>1</v>
      </c>
      <c r="F13" s="8" t="b">
        <f t="shared" si="1"/>
        <v>1</v>
      </c>
      <c r="G13" s="8" t="b">
        <f t="shared" si="2"/>
        <v>1</v>
      </c>
      <c r="H13" s="5">
        <v>2.0796634926872501</v>
      </c>
      <c r="I13" s="6">
        <v>12.0490417480468</v>
      </c>
      <c r="J13" s="8" t="b">
        <f t="shared" si="3"/>
        <v>1</v>
      </c>
      <c r="K13" s="8" t="b">
        <f t="shared" si="4"/>
        <v>1</v>
      </c>
      <c r="L13" s="8" t="b">
        <f t="shared" si="5"/>
        <v>1</v>
      </c>
      <c r="M13" s="5">
        <v>1.9886826419550301</v>
      </c>
      <c r="N13" s="6">
        <v>11.892494201660099</v>
      </c>
      <c r="O13" s="8" t="b">
        <f t="shared" si="6"/>
        <v>1</v>
      </c>
      <c r="P13" s="8" t="b">
        <f t="shared" si="7"/>
        <v>1</v>
      </c>
      <c r="Q13" s="8" t="b">
        <f t="shared" si="8"/>
        <v>1</v>
      </c>
      <c r="S13" s="12" t="s">
        <v>15</v>
      </c>
    </row>
    <row r="14" spans="2:31" x14ac:dyDescent="0.3">
      <c r="B14" s="13" t="s">
        <v>16</v>
      </c>
      <c r="C14" s="9">
        <v>4.33490390152323</v>
      </c>
      <c r="D14" s="10">
        <v>4.1520500183105398</v>
      </c>
      <c r="E14" s="11" t="b">
        <f t="shared" si="0"/>
        <v>1</v>
      </c>
      <c r="F14" s="11" t="b">
        <f t="shared" si="1"/>
        <v>1</v>
      </c>
      <c r="G14" s="11" t="b">
        <f t="shared" si="2"/>
        <v>1</v>
      </c>
      <c r="H14" s="9">
        <v>2.76243755827534</v>
      </c>
      <c r="I14" s="10">
        <v>3.1387519836425701</v>
      </c>
      <c r="J14" s="11" t="b">
        <f t="shared" si="3"/>
        <v>1</v>
      </c>
      <c r="K14" s="11" t="b">
        <f t="shared" si="4"/>
        <v>1</v>
      </c>
      <c r="L14" s="11" t="b">
        <f t="shared" si="5"/>
        <v>1</v>
      </c>
      <c r="M14" s="9">
        <v>3.9800509285564698</v>
      </c>
      <c r="N14" s="10">
        <v>4.0176620483398402</v>
      </c>
      <c r="O14" s="11" t="b">
        <f t="shared" si="6"/>
        <v>1</v>
      </c>
      <c r="P14" s="11" t="b">
        <f t="shared" si="7"/>
        <v>1</v>
      </c>
      <c r="Q14" s="11" t="b">
        <f t="shared" si="8"/>
        <v>1</v>
      </c>
      <c r="S14" s="13" t="s">
        <v>16</v>
      </c>
    </row>
    <row r="15" spans="2:31" x14ac:dyDescent="0.3">
      <c r="H15" s="1"/>
      <c r="N15" s="1"/>
    </row>
    <row r="18" spans="2:17" x14ac:dyDescent="0.3">
      <c r="B18" s="14"/>
      <c r="C18" s="24" t="s">
        <v>28</v>
      </c>
      <c r="D18" s="25"/>
      <c r="E18" s="25"/>
      <c r="F18" s="25"/>
      <c r="G18" s="26"/>
      <c r="H18" s="25" t="s">
        <v>29</v>
      </c>
      <c r="I18" s="25"/>
      <c r="J18" s="25"/>
      <c r="K18" s="25"/>
      <c r="L18" s="26"/>
      <c r="M18" s="25" t="s">
        <v>30</v>
      </c>
      <c r="N18" s="25"/>
      <c r="O18" s="25"/>
      <c r="P18" s="25"/>
      <c r="Q18" s="26"/>
    </row>
    <row r="19" spans="2:17" x14ac:dyDescent="0.3">
      <c r="B19" s="2" t="s">
        <v>0</v>
      </c>
      <c r="C19" s="4" t="s">
        <v>1</v>
      </c>
      <c r="D19" s="3" t="s">
        <v>26</v>
      </c>
      <c r="E19" s="4" t="s">
        <v>2</v>
      </c>
      <c r="F19" s="3" t="s">
        <v>3</v>
      </c>
      <c r="G19" s="4" t="s">
        <v>4</v>
      </c>
      <c r="H19" s="4" t="s">
        <v>1</v>
      </c>
      <c r="I19" s="3" t="s">
        <v>26</v>
      </c>
      <c r="J19" s="4" t="s">
        <v>2</v>
      </c>
      <c r="K19" s="3" t="s">
        <v>3</v>
      </c>
      <c r="L19" s="4" t="s">
        <v>4</v>
      </c>
      <c r="M19" s="4" t="s">
        <v>1</v>
      </c>
      <c r="N19" s="3" t="s">
        <v>26</v>
      </c>
      <c r="O19" s="4" t="s">
        <v>2</v>
      </c>
      <c r="P19" s="3" t="s">
        <v>3</v>
      </c>
      <c r="Q19" s="4" t="s">
        <v>4</v>
      </c>
    </row>
    <row r="20" spans="2:17" x14ac:dyDescent="0.3">
      <c r="B20" s="12" t="s">
        <v>5</v>
      </c>
      <c r="C20" s="5">
        <v>1.4098896472248199</v>
      </c>
      <c r="D20" s="6">
        <v>0.42660140991210899</v>
      </c>
      <c r="E20" s="7" t="b">
        <f>IF(C20&lt;1.5,FALSE,TRUE)</f>
        <v>0</v>
      </c>
      <c r="F20" s="7" t="b">
        <f>IF(D20&lt;1.2,FALSE,TRUE)</f>
        <v>0</v>
      </c>
      <c r="G20" s="7" t="b">
        <f>OR(E20,F20)</f>
        <v>0</v>
      </c>
      <c r="H20" s="5">
        <v>1.31863278128399</v>
      </c>
      <c r="I20" s="6">
        <v>0.3255615234375</v>
      </c>
      <c r="J20" s="7" t="b">
        <f>IF(H20&lt;1.5,FALSE,TRUE)</f>
        <v>0</v>
      </c>
      <c r="K20" s="7" t="b">
        <f>IF(I20&lt;1.2,FALSE,TRUE)</f>
        <v>0</v>
      </c>
      <c r="L20" s="7" t="b">
        <f>OR(J20,K20)</f>
        <v>0</v>
      </c>
      <c r="M20" s="5">
        <v>1.3584323212001801</v>
      </c>
      <c r="N20" s="6">
        <v>0.42073822021484297</v>
      </c>
      <c r="O20" s="7" t="b">
        <f>IF(M20&lt;1.5,FALSE,TRUE)</f>
        <v>0</v>
      </c>
      <c r="P20" s="7" t="b">
        <f>IF(N20&lt;1.2,FALSE,TRUE)</f>
        <v>0</v>
      </c>
      <c r="Q20" s="7" t="b">
        <f>OR(O20,P20)</f>
        <v>0</v>
      </c>
    </row>
    <row r="21" spans="2:17" x14ac:dyDescent="0.3">
      <c r="B21" s="12" t="s">
        <v>6</v>
      </c>
      <c r="C21" s="5">
        <v>6.05723884822965</v>
      </c>
      <c r="D21" s="6">
        <v>0.32321548461914001</v>
      </c>
      <c r="E21" s="8" t="b">
        <f t="shared" ref="E21:E30" si="9">IF(C21&lt;1.5,FALSE,TRUE)</f>
        <v>1</v>
      </c>
      <c r="F21" s="8" t="b">
        <f t="shared" ref="F21:F30" si="10">IF(D21&lt;1.2,FALSE,TRUE)</f>
        <v>0</v>
      </c>
      <c r="G21" s="8" t="b">
        <f t="shared" ref="G21:G30" si="11">OR(E21,F21)</f>
        <v>1</v>
      </c>
      <c r="H21" s="5">
        <v>6.0263923095638701</v>
      </c>
      <c r="I21" s="6">
        <v>0.38386154174804599</v>
      </c>
      <c r="J21" s="8" t="b">
        <f t="shared" ref="J21:J30" si="12">IF(H21&lt;1.5,FALSE,TRUE)</f>
        <v>1</v>
      </c>
      <c r="K21" s="8" t="b">
        <f t="shared" ref="K21:K30" si="13">IF(I21&lt;1.2,FALSE,TRUE)</f>
        <v>0</v>
      </c>
      <c r="L21" s="8" t="b">
        <f t="shared" ref="L21:L30" si="14">OR(J21,K21)</f>
        <v>1</v>
      </c>
      <c r="M21" s="5">
        <v>6.2201817673284303</v>
      </c>
      <c r="N21" s="6">
        <v>0.47230911254882801</v>
      </c>
      <c r="O21" s="8" t="b">
        <f t="shared" ref="O21:O30" si="15">IF(M21&lt;1.5,FALSE,TRUE)</f>
        <v>1</v>
      </c>
      <c r="P21" s="8" t="b">
        <f t="shared" ref="P21:P30" si="16">IF(N21&lt;1.2,FALSE,TRUE)</f>
        <v>0</v>
      </c>
      <c r="Q21" s="8" t="b">
        <f t="shared" ref="Q21:Q30" si="17">OR(O21,P21)</f>
        <v>1</v>
      </c>
    </row>
    <row r="22" spans="2:17" x14ac:dyDescent="0.3">
      <c r="B22" s="12" t="s">
        <v>7</v>
      </c>
      <c r="C22" s="5">
        <v>1.4378790617617601</v>
      </c>
      <c r="D22" s="6">
        <v>0.52303695678710904</v>
      </c>
      <c r="E22" s="8" t="b">
        <f t="shared" si="9"/>
        <v>0</v>
      </c>
      <c r="F22" s="8" t="b">
        <f t="shared" si="10"/>
        <v>0</v>
      </c>
      <c r="G22" s="8" t="b">
        <f t="shared" si="11"/>
        <v>0</v>
      </c>
      <c r="H22" s="5">
        <v>1.3854668770235601</v>
      </c>
      <c r="I22" s="6">
        <v>0.48699569702148399</v>
      </c>
      <c r="J22" s="8" t="b">
        <f t="shared" si="12"/>
        <v>0</v>
      </c>
      <c r="K22" s="8" t="b">
        <f t="shared" si="13"/>
        <v>0</v>
      </c>
      <c r="L22" s="8" t="b">
        <f t="shared" si="14"/>
        <v>0</v>
      </c>
      <c r="M22" s="5">
        <v>1.4580973146399701</v>
      </c>
      <c r="N22" s="6">
        <v>0.38842391967773399</v>
      </c>
      <c r="O22" s="8" t="b">
        <f t="shared" si="15"/>
        <v>0</v>
      </c>
      <c r="P22" s="8" t="b">
        <f t="shared" si="16"/>
        <v>0</v>
      </c>
      <c r="Q22" s="8" t="b">
        <f t="shared" si="17"/>
        <v>0</v>
      </c>
    </row>
    <row r="23" spans="2:17" x14ac:dyDescent="0.3">
      <c r="B23" s="12" t="s">
        <v>8</v>
      </c>
      <c r="C23" s="5">
        <v>2.4999857341683902</v>
      </c>
      <c r="D23" s="6">
        <v>0.67889785766601496</v>
      </c>
      <c r="E23" s="8" t="b">
        <f t="shared" si="9"/>
        <v>1</v>
      </c>
      <c r="F23" s="8" t="b">
        <f t="shared" si="10"/>
        <v>0</v>
      </c>
      <c r="G23" s="8" t="b">
        <f t="shared" si="11"/>
        <v>1</v>
      </c>
      <c r="H23" s="5">
        <v>2.50962899928339</v>
      </c>
      <c r="I23" s="6">
        <v>0.44518280029296797</v>
      </c>
      <c r="J23" s="8" t="b">
        <f t="shared" si="12"/>
        <v>1</v>
      </c>
      <c r="K23" s="8" t="b">
        <f t="shared" si="13"/>
        <v>0</v>
      </c>
      <c r="L23" s="8" t="b">
        <f t="shared" si="14"/>
        <v>1</v>
      </c>
      <c r="M23" s="5">
        <v>2.6338358318604498</v>
      </c>
      <c r="N23" s="6">
        <v>0.24401473999023399</v>
      </c>
      <c r="O23" s="8" t="b">
        <f t="shared" si="15"/>
        <v>1</v>
      </c>
      <c r="P23" s="8" t="b">
        <f t="shared" si="16"/>
        <v>0</v>
      </c>
      <c r="Q23" s="8" t="b">
        <f t="shared" si="17"/>
        <v>1</v>
      </c>
    </row>
    <row r="24" spans="2:17" x14ac:dyDescent="0.3">
      <c r="B24" s="12" t="s">
        <v>9</v>
      </c>
      <c r="C24" s="5">
        <v>5.0445708758180103</v>
      </c>
      <c r="D24" s="6">
        <v>0.90740585327148404</v>
      </c>
      <c r="E24" s="8" t="b">
        <f t="shared" si="9"/>
        <v>1</v>
      </c>
      <c r="F24" s="8" t="b">
        <f t="shared" si="10"/>
        <v>0</v>
      </c>
      <c r="G24" s="8" t="b">
        <f t="shared" si="11"/>
        <v>1</v>
      </c>
      <c r="H24" s="5">
        <v>5.26902868077494</v>
      </c>
      <c r="I24" s="6">
        <v>0.70737075805663996</v>
      </c>
      <c r="J24" s="8" t="b">
        <f t="shared" si="12"/>
        <v>1</v>
      </c>
      <c r="K24" s="8" t="b">
        <f t="shared" si="13"/>
        <v>0</v>
      </c>
      <c r="L24" s="8" t="b">
        <f t="shared" si="14"/>
        <v>1</v>
      </c>
      <c r="M24" s="5">
        <v>4.9461015740754899</v>
      </c>
      <c r="N24" s="6">
        <v>0.99581146240234297</v>
      </c>
      <c r="O24" s="8" t="b">
        <f t="shared" si="15"/>
        <v>1</v>
      </c>
      <c r="P24" s="8" t="b">
        <f t="shared" si="16"/>
        <v>0</v>
      </c>
      <c r="Q24" s="8" t="b">
        <f t="shared" si="17"/>
        <v>1</v>
      </c>
    </row>
    <row r="25" spans="2:17" x14ac:dyDescent="0.3">
      <c r="B25" s="12" t="s">
        <v>10</v>
      </c>
      <c r="C25" s="5">
        <v>3.1328385670638399</v>
      </c>
      <c r="D25" s="6">
        <v>0.35430145263671797</v>
      </c>
      <c r="E25" s="8" t="b">
        <f t="shared" si="9"/>
        <v>1</v>
      </c>
      <c r="F25" s="8" t="b">
        <f t="shared" si="10"/>
        <v>0</v>
      </c>
      <c r="G25" s="8" t="b">
        <f t="shared" si="11"/>
        <v>1</v>
      </c>
      <c r="H25" s="5">
        <v>3.2202546627281801</v>
      </c>
      <c r="I25" s="6">
        <v>0.417556762695312</v>
      </c>
      <c r="J25" s="8" t="b">
        <f t="shared" si="12"/>
        <v>1</v>
      </c>
      <c r="K25" s="8" t="b">
        <f t="shared" si="13"/>
        <v>0</v>
      </c>
      <c r="L25" s="8" t="b">
        <f t="shared" si="14"/>
        <v>1</v>
      </c>
      <c r="M25" s="5">
        <v>2.9466982320235098</v>
      </c>
      <c r="N25" s="6">
        <v>0.59987640380859297</v>
      </c>
      <c r="O25" s="8" t="b">
        <f t="shared" si="15"/>
        <v>1</v>
      </c>
      <c r="P25" s="8" t="b">
        <f t="shared" si="16"/>
        <v>0</v>
      </c>
      <c r="Q25" s="8" t="b">
        <f t="shared" si="17"/>
        <v>1</v>
      </c>
    </row>
    <row r="26" spans="2:17" x14ac:dyDescent="0.3">
      <c r="B26" s="12" t="s">
        <v>11</v>
      </c>
      <c r="C26" s="5">
        <v>1.6968027130741801</v>
      </c>
      <c r="D26" s="6">
        <v>3.8718223571777299</v>
      </c>
      <c r="E26" s="8" t="b">
        <f t="shared" si="9"/>
        <v>1</v>
      </c>
      <c r="F26" s="8" t="b">
        <f t="shared" si="10"/>
        <v>1</v>
      </c>
      <c r="G26" s="8" t="b">
        <f t="shared" si="11"/>
        <v>1</v>
      </c>
      <c r="H26" s="5">
        <v>1.69641011818717</v>
      </c>
      <c r="I26" s="6">
        <v>3.6882858276367099</v>
      </c>
      <c r="J26" s="8" t="b">
        <f t="shared" si="12"/>
        <v>1</v>
      </c>
      <c r="K26" s="8" t="b">
        <f t="shared" si="13"/>
        <v>1</v>
      </c>
      <c r="L26" s="8" t="b">
        <f t="shared" si="14"/>
        <v>1</v>
      </c>
      <c r="M26" s="5">
        <v>1.6762979912373399</v>
      </c>
      <c r="N26" s="6">
        <v>3.83476257324218</v>
      </c>
      <c r="O26" s="8" t="b">
        <f t="shared" si="15"/>
        <v>1</v>
      </c>
      <c r="P26" s="8" t="b">
        <f t="shared" si="16"/>
        <v>1</v>
      </c>
      <c r="Q26" s="8" t="b">
        <f t="shared" si="17"/>
        <v>1</v>
      </c>
    </row>
    <row r="27" spans="2:17" x14ac:dyDescent="0.3">
      <c r="B27" s="12" t="s">
        <v>12</v>
      </c>
      <c r="C27" s="5">
        <v>1.92346429373739</v>
      </c>
      <c r="D27" s="6">
        <v>5.2936477661132804</v>
      </c>
      <c r="E27" s="8" t="b">
        <f t="shared" si="9"/>
        <v>1</v>
      </c>
      <c r="F27" s="8" t="b">
        <f t="shared" si="10"/>
        <v>1</v>
      </c>
      <c r="G27" s="8" t="b">
        <f t="shared" si="11"/>
        <v>1</v>
      </c>
      <c r="H27" s="5">
        <v>1.82275920839663</v>
      </c>
      <c r="I27" s="6">
        <v>5.6909294128417898</v>
      </c>
      <c r="J27" s="8" t="b">
        <f t="shared" si="12"/>
        <v>1</v>
      </c>
      <c r="K27" s="8" t="b">
        <f t="shared" si="13"/>
        <v>1</v>
      </c>
      <c r="L27" s="8" t="b">
        <f t="shared" si="14"/>
        <v>1</v>
      </c>
      <c r="M27" s="5">
        <v>1.8835680046957499</v>
      </c>
      <c r="N27" s="6">
        <v>5.0717124938964799</v>
      </c>
      <c r="O27" s="8" t="b">
        <f t="shared" si="15"/>
        <v>1</v>
      </c>
      <c r="P27" s="8" t="b">
        <f t="shared" si="16"/>
        <v>1</v>
      </c>
      <c r="Q27" s="8" t="b">
        <f t="shared" si="17"/>
        <v>1</v>
      </c>
    </row>
    <row r="28" spans="2:17" x14ac:dyDescent="0.3">
      <c r="B28" s="12" t="s">
        <v>13</v>
      </c>
      <c r="C28" s="5">
        <v>1.95635089847632</v>
      </c>
      <c r="D28" s="6">
        <v>0.59440612792968694</v>
      </c>
      <c r="E28" s="8" t="b">
        <f t="shared" si="9"/>
        <v>1</v>
      </c>
      <c r="F28" s="8" t="b">
        <f t="shared" si="10"/>
        <v>0</v>
      </c>
      <c r="G28" s="8" t="b">
        <f t="shared" si="11"/>
        <v>1</v>
      </c>
      <c r="H28" s="5">
        <v>2.2494420490525302</v>
      </c>
      <c r="I28" s="6">
        <v>0.24415969848632799</v>
      </c>
      <c r="J28" s="8" t="b">
        <f t="shared" si="12"/>
        <v>1</v>
      </c>
      <c r="K28" s="8" t="b">
        <f t="shared" si="13"/>
        <v>0</v>
      </c>
      <c r="L28" s="8" t="b">
        <f t="shared" si="14"/>
        <v>1</v>
      </c>
      <c r="M28" s="5">
        <v>2.0082607201853899</v>
      </c>
      <c r="N28" s="6">
        <v>4.98504638671875E-2</v>
      </c>
      <c r="O28" s="8" t="b">
        <f t="shared" si="15"/>
        <v>1</v>
      </c>
      <c r="P28" s="8" t="b">
        <f t="shared" si="16"/>
        <v>0</v>
      </c>
      <c r="Q28" s="8" t="b">
        <f t="shared" si="17"/>
        <v>1</v>
      </c>
    </row>
    <row r="29" spans="2:17" x14ac:dyDescent="0.3">
      <c r="B29" s="12" t="s">
        <v>14</v>
      </c>
      <c r="C29" s="5">
        <v>1.5959264412037399</v>
      </c>
      <c r="D29" s="6">
        <v>0.69040679931640603</v>
      </c>
      <c r="E29" s="8" t="b">
        <f t="shared" si="9"/>
        <v>1</v>
      </c>
      <c r="F29" s="8" t="b">
        <f t="shared" si="10"/>
        <v>0</v>
      </c>
      <c r="G29" s="8" t="b">
        <f t="shared" si="11"/>
        <v>1</v>
      </c>
      <c r="H29" s="5">
        <v>1.59907634285292</v>
      </c>
      <c r="I29" s="6">
        <v>0.48696517944335899</v>
      </c>
      <c r="J29" s="8" t="b">
        <f t="shared" si="12"/>
        <v>1</v>
      </c>
      <c r="K29" s="8" t="b">
        <f t="shared" si="13"/>
        <v>0</v>
      </c>
      <c r="L29" s="8" t="b">
        <f t="shared" si="14"/>
        <v>1</v>
      </c>
      <c r="M29" s="5">
        <v>1.51156618293247</v>
      </c>
      <c r="N29" s="6">
        <v>0.50443267822265603</v>
      </c>
      <c r="O29" s="8" t="b">
        <f t="shared" si="15"/>
        <v>1</v>
      </c>
      <c r="P29" s="8" t="b">
        <f t="shared" si="16"/>
        <v>0</v>
      </c>
      <c r="Q29" s="8" t="b">
        <f t="shared" si="17"/>
        <v>1</v>
      </c>
    </row>
    <row r="30" spans="2:17" x14ac:dyDescent="0.3">
      <c r="B30" s="12" t="s">
        <v>15</v>
      </c>
      <c r="C30" s="5">
        <v>2.06490873847414</v>
      </c>
      <c r="D30" s="6">
        <v>11.8977966308593</v>
      </c>
      <c r="E30" s="11" t="b">
        <f t="shared" si="9"/>
        <v>1</v>
      </c>
      <c r="F30" s="11" t="b">
        <f t="shared" si="10"/>
        <v>1</v>
      </c>
      <c r="G30" s="8" t="b">
        <f t="shared" si="11"/>
        <v>1</v>
      </c>
      <c r="H30" s="5">
        <v>2.0799663992655399</v>
      </c>
      <c r="I30" s="6">
        <v>12.264076232910099</v>
      </c>
      <c r="J30" s="11" t="b">
        <f t="shared" si="12"/>
        <v>1</v>
      </c>
      <c r="K30" s="11" t="b">
        <f t="shared" si="13"/>
        <v>1</v>
      </c>
      <c r="L30" s="8" t="b">
        <f t="shared" si="14"/>
        <v>1</v>
      </c>
      <c r="M30" s="5">
        <v>2.0963880953373701</v>
      </c>
      <c r="N30" s="6">
        <v>12.1287727355957</v>
      </c>
      <c r="O30" s="11" t="b">
        <f t="shared" si="15"/>
        <v>1</v>
      </c>
      <c r="P30" s="11" t="b">
        <f t="shared" si="16"/>
        <v>1</v>
      </c>
      <c r="Q30" s="8" t="b">
        <f t="shared" si="17"/>
        <v>1</v>
      </c>
    </row>
    <row r="31" spans="2:17" x14ac:dyDescent="0.3">
      <c r="B31" s="13" t="s">
        <v>16</v>
      </c>
      <c r="C31" s="9">
        <v>2.6562234390408501</v>
      </c>
      <c r="D31" s="10">
        <v>4.2555809020995996</v>
      </c>
      <c r="E31" s="11" t="b">
        <f t="shared" ref="E31" si="18">IF(C31&lt;1.1,FALSE,TRUE)</f>
        <v>1</v>
      </c>
      <c r="F31" s="11" t="b">
        <f t="shared" ref="F31" si="19">IF(D31&lt;1,FALSE,TRUE)</f>
        <v>1</v>
      </c>
      <c r="G31" s="11" t="b">
        <f t="shared" ref="G31" si="20">OR(E31,F31)</f>
        <v>1</v>
      </c>
      <c r="H31" s="9">
        <v>2.7592633097188699</v>
      </c>
      <c r="I31" s="10">
        <v>4.1865501403808496</v>
      </c>
      <c r="J31" s="11" t="b">
        <f t="shared" ref="J31" si="21">IF(H31&lt;1.1,FALSE,TRUE)</f>
        <v>1</v>
      </c>
      <c r="K31" s="11" t="b">
        <f t="shared" ref="K31" si="22">IF(I31&lt;1,FALSE,TRUE)</f>
        <v>1</v>
      </c>
      <c r="L31" s="11" t="b">
        <f t="shared" ref="L31" si="23">OR(J31,K31)</f>
        <v>1</v>
      </c>
      <c r="M31" s="9">
        <v>2.8609600794506802</v>
      </c>
      <c r="N31" s="10">
        <v>3.8322906494140598</v>
      </c>
      <c r="O31" s="11" t="b">
        <f t="shared" ref="O31" si="24">IF(M31&lt;1.1,FALSE,TRUE)</f>
        <v>1</v>
      </c>
      <c r="P31" s="11" t="b">
        <f t="shared" ref="P31" si="25">IF(N31&lt;1,FALSE,TRUE)</f>
        <v>1</v>
      </c>
      <c r="Q31" s="11" t="b">
        <f t="shared" ref="Q31" si="26">OR(O31,P31)</f>
        <v>1</v>
      </c>
    </row>
    <row r="35" spans="2:10" x14ac:dyDescent="0.3">
      <c r="B35" s="24" t="s">
        <v>17</v>
      </c>
      <c r="C35" s="25"/>
      <c r="D35" s="25"/>
      <c r="E35" s="25"/>
      <c r="F35" s="25"/>
      <c r="G35" s="26"/>
    </row>
    <row r="36" spans="2:10" x14ac:dyDescent="0.3">
      <c r="B36" s="2" t="s">
        <v>0</v>
      </c>
      <c r="C36" s="4" t="s">
        <v>1</v>
      </c>
      <c r="D36" s="3" t="s">
        <v>26</v>
      </c>
      <c r="E36" s="4" t="s">
        <v>2</v>
      </c>
      <c r="F36" s="3" t="s">
        <v>3</v>
      </c>
      <c r="G36" s="4" t="s">
        <v>4</v>
      </c>
    </row>
    <row r="37" spans="2:10" x14ac:dyDescent="0.3">
      <c r="B37" s="12" t="s">
        <v>18</v>
      </c>
      <c r="C37" s="5">
        <v>2.8586820070451302</v>
      </c>
      <c r="D37" s="6">
        <v>0.46789169311523399</v>
      </c>
      <c r="E37" s="7" t="b">
        <f>IF(C37&lt;1.5,FALSE,TRUE)</f>
        <v>1</v>
      </c>
      <c r="F37" s="7" t="b">
        <f>IF(D37&lt;1.2,FALSE,TRUE)</f>
        <v>0</v>
      </c>
      <c r="G37" s="7" t="b">
        <f>OR(E37,F37)</f>
        <v>1</v>
      </c>
    </row>
    <row r="38" spans="2:10" x14ac:dyDescent="0.3">
      <c r="B38" s="12" t="s">
        <v>19</v>
      </c>
      <c r="C38" s="5">
        <v>4.4670374799057297</v>
      </c>
      <c r="D38" s="6">
        <v>9.9536895751953097E-2</v>
      </c>
      <c r="E38" s="8" t="b">
        <f t="shared" ref="E38:E47" si="27">IF(C38&lt;1.5,FALSE,TRUE)</f>
        <v>1</v>
      </c>
      <c r="F38" s="8" t="b">
        <f t="shared" ref="F38:F47" si="28">IF(D38&lt;1.2,FALSE,TRUE)</f>
        <v>0</v>
      </c>
      <c r="G38" s="8" t="b">
        <f t="shared" ref="G38:G48" si="29">OR(E38,F38)</f>
        <v>1</v>
      </c>
      <c r="J38" t="s">
        <v>27</v>
      </c>
    </row>
    <row r="39" spans="2:10" x14ac:dyDescent="0.3">
      <c r="B39" s="12" t="s">
        <v>6</v>
      </c>
      <c r="C39" s="5">
        <v>7.8176764588627199</v>
      </c>
      <c r="D39" s="6">
        <v>1.1359672546386701</v>
      </c>
      <c r="E39" s="8" t="b">
        <f t="shared" si="27"/>
        <v>1</v>
      </c>
      <c r="F39" s="8" t="b">
        <f t="shared" si="28"/>
        <v>0</v>
      </c>
      <c r="G39" s="8" t="b">
        <f t="shared" si="29"/>
        <v>1</v>
      </c>
    </row>
    <row r="40" spans="2:10" x14ac:dyDescent="0.3">
      <c r="B40" s="12" t="s">
        <v>7</v>
      </c>
      <c r="C40" s="5">
        <v>2.7183759229346598</v>
      </c>
      <c r="D40" s="6">
        <v>0.88345718383788996</v>
      </c>
      <c r="E40" s="8" t="b">
        <f t="shared" si="27"/>
        <v>1</v>
      </c>
      <c r="F40" s="8" t="b">
        <f t="shared" si="28"/>
        <v>0</v>
      </c>
      <c r="G40" s="8" t="b">
        <f t="shared" si="29"/>
        <v>1</v>
      </c>
    </row>
    <row r="41" spans="2:10" x14ac:dyDescent="0.3">
      <c r="B41" s="12" t="s">
        <v>20</v>
      </c>
      <c r="C41" s="5">
        <v>6.55419999399719</v>
      </c>
      <c r="D41" s="6">
        <v>0.796783447265625</v>
      </c>
      <c r="E41" s="8" t="b">
        <f t="shared" si="27"/>
        <v>1</v>
      </c>
      <c r="F41" s="8" t="b">
        <f t="shared" si="28"/>
        <v>0</v>
      </c>
      <c r="G41" s="8" t="b">
        <f t="shared" si="29"/>
        <v>1</v>
      </c>
    </row>
    <row r="42" spans="2:10" x14ac:dyDescent="0.3">
      <c r="B42" s="12" t="s">
        <v>21</v>
      </c>
      <c r="C42" s="5">
        <v>4.5023641290572503</v>
      </c>
      <c r="D42" s="6">
        <v>0.97106170654296797</v>
      </c>
      <c r="E42" s="8" t="b">
        <f t="shared" si="27"/>
        <v>1</v>
      </c>
      <c r="F42" s="8" t="b">
        <f t="shared" si="28"/>
        <v>0</v>
      </c>
      <c r="G42" s="8" t="b">
        <f t="shared" si="29"/>
        <v>1</v>
      </c>
    </row>
    <row r="43" spans="2:10" x14ac:dyDescent="0.3">
      <c r="B43" s="12" t="s">
        <v>8</v>
      </c>
      <c r="C43" s="5">
        <v>4.1756185896487601</v>
      </c>
      <c r="D43" s="6">
        <v>0.53696441650390603</v>
      </c>
      <c r="E43" s="8" t="b">
        <f t="shared" si="27"/>
        <v>1</v>
      </c>
      <c r="F43" s="8" t="b">
        <f t="shared" si="28"/>
        <v>0</v>
      </c>
      <c r="G43" s="8" t="b">
        <f t="shared" si="29"/>
        <v>1</v>
      </c>
    </row>
    <row r="44" spans="2:10" x14ac:dyDescent="0.3">
      <c r="B44" s="12" t="s">
        <v>22</v>
      </c>
      <c r="C44" s="5">
        <v>4.0922322701454803</v>
      </c>
      <c r="D44" s="6">
        <v>14.168098449706999</v>
      </c>
      <c r="E44" s="8" t="b">
        <f t="shared" si="27"/>
        <v>1</v>
      </c>
      <c r="F44" s="8" t="b">
        <f t="shared" si="28"/>
        <v>1</v>
      </c>
      <c r="G44" s="8" t="b">
        <f t="shared" si="29"/>
        <v>1</v>
      </c>
    </row>
    <row r="45" spans="2:10" x14ac:dyDescent="0.3">
      <c r="B45" s="12" t="s">
        <v>23</v>
      </c>
      <c r="C45" s="5">
        <v>2.9615201772478699</v>
      </c>
      <c r="D45" s="6">
        <v>4.7744255065917898</v>
      </c>
      <c r="E45" s="8" t="b">
        <f t="shared" si="27"/>
        <v>1</v>
      </c>
      <c r="F45" s="8" t="b">
        <f t="shared" si="28"/>
        <v>1</v>
      </c>
      <c r="G45" s="8" t="b">
        <f t="shared" si="29"/>
        <v>1</v>
      </c>
    </row>
    <row r="46" spans="2:10" x14ac:dyDescent="0.3">
      <c r="B46" s="12" t="s">
        <v>9</v>
      </c>
      <c r="C46" s="5">
        <v>3.9547032987089699</v>
      </c>
      <c r="D46" s="6">
        <v>7.2260208129882804</v>
      </c>
      <c r="E46" s="8" t="b">
        <f t="shared" si="27"/>
        <v>1</v>
      </c>
      <c r="F46" s="8" t="b">
        <f t="shared" si="28"/>
        <v>1</v>
      </c>
      <c r="G46" s="8" t="b">
        <f t="shared" si="29"/>
        <v>1</v>
      </c>
    </row>
    <row r="47" spans="2:10" x14ac:dyDescent="0.3">
      <c r="B47" s="12" t="s">
        <v>24</v>
      </c>
      <c r="C47" s="5">
        <v>3.5394233690408399</v>
      </c>
      <c r="D47" s="6">
        <v>0.76793289184570301</v>
      </c>
      <c r="E47" s="11" t="b">
        <f t="shared" si="27"/>
        <v>1</v>
      </c>
      <c r="F47" s="11" t="b">
        <f t="shared" si="28"/>
        <v>0</v>
      </c>
      <c r="G47" s="8" t="b">
        <f t="shared" si="29"/>
        <v>1</v>
      </c>
    </row>
    <row r="48" spans="2:10" x14ac:dyDescent="0.3">
      <c r="B48" s="12" t="s">
        <v>10</v>
      </c>
      <c r="C48" s="5">
        <v>3.6748485691456501</v>
      </c>
      <c r="D48" s="6">
        <v>0.91352462768554599</v>
      </c>
      <c r="E48" s="11" t="b">
        <f t="shared" ref="E38:E48" si="30">IF(C48&lt;1.1,FALSE,TRUE)</f>
        <v>1</v>
      </c>
      <c r="F48" s="11" t="b">
        <f t="shared" ref="F38:F48" si="31">IF(D48&lt;1,FALSE,TRUE)</f>
        <v>0</v>
      </c>
      <c r="G48" s="11" t="b">
        <f t="shared" si="29"/>
        <v>1</v>
      </c>
    </row>
    <row r="49" spans="2:7" x14ac:dyDescent="0.3">
      <c r="B49" s="12" t="s">
        <v>11</v>
      </c>
      <c r="C49" s="5">
        <v>7.5154728262879198</v>
      </c>
      <c r="D49" s="6">
        <v>0.96739959716796797</v>
      </c>
      <c r="E49" s="8" t="b">
        <f t="shared" ref="E49:E50" si="32">IF(C49&lt;1.1,FALSE,TRUE)</f>
        <v>1</v>
      </c>
      <c r="F49" s="8" t="b">
        <f t="shared" ref="F49:F50" si="33">IF(D49&lt;1,FALSE,TRUE)</f>
        <v>0</v>
      </c>
      <c r="G49" s="8" t="b">
        <f t="shared" ref="G49:G50" si="34">OR(E49,F49)</f>
        <v>1</v>
      </c>
    </row>
    <row r="50" spans="2:7" x14ac:dyDescent="0.3">
      <c r="B50" s="13" t="s">
        <v>25</v>
      </c>
      <c r="C50" s="9">
        <v>2.7444469282207602</v>
      </c>
      <c r="D50" s="10">
        <v>13.499168395996</v>
      </c>
      <c r="E50" s="11" t="b">
        <f t="shared" si="32"/>
        <v>1</v>
      </c>
      <c r="F50" s="11" t="b">
        <f t="shared" si="33"/>
        <v>1</v>
      </c>
      <c r="G50" s="11" t="b">
        <f t="shared" si="34"/>
        <v>1</v>
      </c>
    </row>
  </sheetData>
  <mergeCells count="7">
    <mergeCell ref="B35:G35"/>
    <mergeCell ref="B2:G2"/>
    <mergeCell ref="H2:L2"/>
    <mergeCell ref="M2:Q2"/>
    <mergeCell ref="C18:G18"/>
    <mergeCell ref="H18:L18"/>
    <mergeCell ref="M18:Q18"/>
  </mergeCells>
  <conditionalFormatting sqref="E4:G14">
    <cfRule type="cellIs" dxfId="25" priority="43" operator="equal">
      <formula>TRUE</formula>
    </cfRule>
    <cfRule type="cellIs" dxfId="24" priority="44" operator="equal">
      <formula>FALSE</formula>
    </cfRule>
  </conditionalFormatting>
  <conditionalFormatting sqref="E31:G31 G20:G30">
    <cfRule type="cellIs" dxfId="23" priority="23" operator="equal">
      <formula>TRUE</formula>
    </cfRule>
    <cfRule type="cellIs" dxfId="22" priority="24" operator="equal">
      <formula>FALSE</formula>
    </cfRule>
  </conditionalFormatting>
  <conditionalFormatting sqref="E48:G50 G37:G47">
    <cfRule type="cellIs" dxfId="21" priority="13" operator="equal">
      <formula>TRUE</formula>
    </cfRule>
    <cfRule type="cellIs" dxfId="20" priority="14" operator="equal">
      <formula>FALSE</formula>
    </cfRule>
  </conditionalFormatting>
  <conditionalFormatting sqref="L4:L14">
    <cfRule type="cellIs" dxfId="19" priority="27" operator="equal">
      <formula>TRUE</formula>
    </cfRule>
    <cfRule type="cellIs" dxfId="18" priority="28" operator="equal">
      <formula>FALSE</formula>
    </cfRule>
  </conditionalFormatting>
  <conditionalFormatting sqref="J31:L31 L20:L30">
    <cfRule type="cellIs" dxfId="17" priority="17" operator="equal">
      <formula>TRUE</formula>
    </cfRule>
    <cfRule type="cellIs" dxfId="16" priority="18" operator="equal">
      <formula>FALSE</formula>
    </cfRule>
  </conditionalFormatting>
  <conditionalFormatting sqref="Q4:Q14">
    <cfRule type="cellIs" dxfId="15" priority="25" operator="equal">
      <formula>TRUE</formula>
    </cfRule>
    <cfRule type="cellIs" dxfId="14" priority="26" operator="equal">
      <formula>FALSE</formula>
    </cfRule>
  </conditionalFormatting>
  <conditionalFormatting sqref="O31:Q31 Q20:Q30">
    <cfRule type="cellIs" dxfId="13" priority="15" operator="equal">
      <formula>TRUE</formula>
    </cfRule>
    <cfRule type="cellIs" dxfId="12" priority="16" operator="equal">
      <formula>FALSE</formula>
    </cfRule>
  </conditionalFormatting>
  <conditionalFormatting sqref="J4:K14">
    <cfRule type="cellIs" dxfId="11" priority="11" operator="equal">
      <formula>TRUE</formula>
    </cfRule>
    <cfRule type="cellIs" dxfId="10" priority="12" operator="equal">
      <formula>FALSE</formula>
    </cfRule>
  </conditionalFormatting>
  <conditionalFormatting sqref="O4:P14">
    <cfRule type="cellIs" dxfId="9" priority="9" operator="equal">
      <formula>TRUE</formula>
    </cfRule>
    <cfRule type="cellIs" dxfId="8" priority="10" operator="equal">
      <formula>FALSE</formula>
    </cfRule>
  </conditionalFormatting>
  <conditionalFormatting sqref="E20:F30">
    <cfRule type="cellIs" dxfId="7" priority="7" operator="equal">
      <formula>TRUE</formula>
    </cfRule>
    <cfRule type="cellIs" dxfId="6" priority="8" operator="equal">
      <formula>FALSE</formula>
    </cfRule>
  </conditionalFormatting>
  <conditionalFormatting sqref="J20:K30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O20:P30">
    <cfRule type="cellIs" dxfId="3" priority="3" operator="equal">
      <formula>TRUE</formula>
    </cfRule>
    <cfRule type="cellIs" dxfId="2" priority="4" operator="equal">
      <formula>FALSE</formula>
    </cfRule>
  </conditionalFormatting>
  <conditionalFormatting sqref="E37:F47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94CD-8C4E-4171-ADE1-60F6A5CC0295}">
  <dimension ref="F7:H20"/>
  <sheetViews>
    <sheetView workbookViewId="0">
      <selection activeCell="P11" sqref="P11"/>
    </sheetView>
  </sheetViews>
  <sheetFormatPr defaultRowHeight="14.4" x14ac:dyDescent="0.3"/>
  <cols>
    <col min="1" max="1" width="8.88671875" customWidth="1"/>
    <col min="7" max="8" width="10.44140625" customWidth="1"/>
  </cols>
  <sheetData>
    <row r="7" spans="6:8" x14ac:dyDescent="0.3">
      <c r="F7" s="20"/>
      <c r="G7" s="24" t="s">
        <v>44</v>
      </c>
      <c r="H7" s="26"/>
    </row>
    <row r="8" spans="6:8" x14ac:dyDescent="0.3">
      <c r="F8" s="4" t="s">
        <v>43</v>
      </c>
      <c r="G8" s="4" t="s">
        <v>45</v>
      </c>
      <c r="H8" s="21" t="s">
        <v>46</v>
      </c>
    </row>
    <row r="9" spans="6:8" x14ac:dyDescent="0.3">
      <c r="F9" s="22" t="s">
        <v>5</v>
      </c>
      <c r="G9" s="16">
        <v>1.4E-3</v>
      </c>
      <c r="H9" s="17">
        <v>2E-3</v>
      </c>
    </row>
    <row r="10" spans="6:8" x14ac:dyDescent="0.3">
      <c r="F10" s="22" t="s">
        <v>6</v>
      </c>
      <c r="G10" s="16">
        <v>5.57E-2</v>
      </c>
      <c r="H10" s="17">
        <v>3.8E-3</v>
      </c>
    </row>
    <row r="11" spans="6:8" x14ac:dyDescent="0.3">
      <c r="F11" s="22" t="s">
        <v>7</v>
      </c>
      <c r="G11" s="16">
        <v>1.41E-2</v>
      </c>
      <c r="H11" s="17">
        <v>4.2599999999999999E-2</v>
      </c>
    </row>
    <row r="12" spans="6:8" x14ac:dyDescent="0.3">
      <c r="F12" s="22" t="s">
        <v>8</v>
      </c>
      <c r="G12" s="16">
        <v>5.7999999999999996E-3</v>
      </c>
      <c r="H12" s="17">
        <v>5.5599999999999997E-2</v>
      </c>
    </row>
    <row r="13" spans="6:8" x14ac:dyDescent="0.3">
      <c r="F13" s="22" t="s">
        <v>9</v>
      </c>
      <c r="G13" s="16">
        <v>1.61E-2</v>
      </c>
      <c r="H13" s="17">
        <v>1.7600000000000001E-2</v>
      </c>
    </row>
    <row r="14" spans="6:8" x14ac:dyDescent="0.3">
      <c r="F14" s="22" t="s">
        <v>10</v>
      </c>
      <c r="G14" s="16">
        <v>5.6800000000000003E-2</v>
      </c>
      <c r="H14" s="17">
        <v>1.41E-2</v>
      </c>
    </row>
    <row r="15" spans="6:8" x14ac:dyDescent="0.3">
      <c r="F15" s="22" t="s">
        <v>11</v>
      </c>
      <c r="G15" s="16">
        <v>1.8E-3</v>
      </c>
      <c r="H15" s="17">
        <v>1.7299999999999999E-2</v>
      </c>
    </row>
    <row r="16" spans="6:8" x14ac:dyDescent="0.3">
      <c r="F16" s="22" t="s">
        <v>12</v>
      </c>
      <c r="G16" s="16">
        <v>1.1299999999999999E-2</v>
      </c>
      <c r="H16" s="17">
        <v>4.9000000000000002E-2</v>
      </c>
    </row>
    <row r="17" spans="6:8" x14ac:dyDescent="0.3">
      <c r="F17" s="22" t="s">
        <v>13</v>
      </c>
      <c r="G17" s="16">
        <v>1.06E-2</v>
      </c>
      <c r="H17" s="17">
        <v>4.5999999999999999E-2</v>
      </c>
    </row>
    <row r="18" spans="6:8" x14ac:dyDescent="0.3">
      <c r="F18" s="22" t="s">
        <v>14</v>
      </c>
      <c r="G18" s="16">
        <v>1.1299999999999999E-2</v>
      </c>
      <c r="H18" s="17">
        <v>5.7500000000000002E-2</v>
      </c>
    </row>
    <row r="19" spans="6:8" x14ac:dyDescent="0.3">
      <c r="F19" s="22" t="s">
        <v>15</v>
      </c>
      <c r="G19" s="16">
        <v>1.6999999999999999E-3</v>
      </c>
      <c r="H19" s="17">
        <v>1.6500000000000001E-2</v>
      </c>
    </row>
    <row r="20" spans="6:8" x14ac:dyDescent="0.3">
      <c r="F20" s="23" t="s">
        <v>16</v>
      </c>
      <c r="G20" s="18">
        <v>0.44600000000000001</v>
      </c>
      <c r="H20" s="19">
        <v>0.14449999999999999</v>
      </c>
    </row>
  </sheetData>
  <mergeCells count="1">
    <mergeCell ref="G7:H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2.8</vt:lpstr>
      <vt:lpstr>1.5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Marie Roob</dc:creator>
  <cp:lastModifiedBy>Júlia Pumares</cp:lastModifiedBy>
  <dcterms:created xsi:type="dcterms:W3CDTF">2025-11-11T14:33:23Z</dcterms:created>
  <dcterms:modified xsi:type="dcterms:W3CDTF">2025-11-13T09:14:26Z</dcterms:modified>
</cp:coreProperties>
</file>